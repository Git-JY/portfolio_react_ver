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latl\OneDrive\사진\"/>
    </mc:Choice>
  </mc:AlternateContent>
  <xr:revisionPtr revIDLastSave="0" documentId="13_ncr:1_{10140797-B0C3-4997-9485-665BA9BCE821}" xr6:coauthVersionLast="47" xr6:coauthVersionMax="47" xr10:uidLastSave="{00000000-0000-0000-0000-000000000000}"/>
  <bookViews>
    <workbookView xWindow="-108" yWindow="-108" windowWidth="23256" windowHeight="12720" firstSheet="34" activeTab="40" xr2:uid="{00000000-000D-0000-FFFF-FFFF00000000}"/>
  </bookViews>
  <sheets>
    <sheet name="섹션79" sheetId="1" r:id="rId1"/>
    <sheet name="섹션81" sheetId="2" r:id="rId2"/>
    <sheet name="섹션82" sheetId="3" r:id="rId3"/>
    <sheet name="섹션83-1" sheetId="4" r:id="rId4"/>
    <sheet name="섹션83-2" sheetId="5" r:id="rId5"/>
    <sheet name="섹션83-3" sheetId="6" r:id="rId6"/>
    <sheet name="섹션83-4" sheetId="7" r:id="rId7"/>
    <sheet name="섹션83-5" sheetId="8" r:id="rId8"/>
    <sheet name="섹션83-6" sheetId="9" r:id="rId9"/>
    <sheet name="섹션83-7" sheetId="10" r:id="rId10"/>
    <sheet name="섹션83-8" sheetId="11" r:id="rId11"/>
    <sheet name="섹션84-1" sheetId="12" r:id="rId12"/>
    <sheet name="섹션84-2" sheetId="13" r:id="rId13"/>
    <sheet name="섹션84-3" sheetId="14" r:id="rId14"/>
    <sheet name="섹션85-1" sheetId="15" r:id="rId15"/>
    <sheet name="섹션85-2" sheetId="16" r:id="rId16"/>
    <sheet name="섹션85-3" sheetId="17" r:id="rId17"/>
    <sheet name="섹션85-4" sheetId="18" r:id="rId18"/>
    <sheet name="섹션86" sheetId="19" r:id="rId19"/>
    <sheet name="섹션87-1" sheetId="20" r:id="rId20"/>
    <sheet name="섹션87-2" sheetId="21" r:id="rId21"/>
    <sheet name="섹션88" sheetId="22" r:id="rId22"/>
    <sheet name="섹션89" sheetId="23" r:id="rId23"/>
    <sheet name="섹션90" sheetId="24" r:id="rId24"/>
    <sheet name="섹션91" sheetId="25" r:id="rId25"/>
    <sheet name="섹션92" sheetId="26" r:id="rId26"/>
    <sheet name="섹션95-1" sheetId="27" r:id="rId27"/>
    <sheet name="섹션95-2" sheetId="28" r:id="rId28"/>
    <sheet name="섹션96" sheetId="29" r:id="rId29"/>
    <sheet name="섹션97-1" sheetId="30" r:id="rId30"/>
    <sheet name="섹션97-2" sheetId="31" r:id="rId31"/>
    <sheet name="섹션99" sheetId="32" r:id="rId32"/>
    <sheet name="섹션100-1" sheetId="34" r:id="rId33"/>
    <sheet name="섹션100-2" sheetId="33" r:id="rId34"/>
    <sheet name="섹션100-3" sheetId="36" r:id="rId35"/>
    <sheet name="섹션101" sheetId="35" r:id="rId36"/>
    <sheet name="섹션102-1" sheetId="37" r:id="rId37"/>
    <sheet name="섹션102-2" sheetId="38" r:id="rId38"/>
    <sheet name="섹션103-1" sheetId="39" r:id="rId39"/>
    <sheet name="섹션103-2" sheetId="40" r:id="rId40"/>
    <sheet name="섹션104" sheetId="41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1" l="1"/>
  <c r="F4" i="41"/>
  <c r="F2" i="41"/>
  <c r="E3" i="41"/>
  <c r="E4" i="41"/>
  <c r="E2" i="41"/>
  <c r="B9" i="39"/>
  <c r="G8" i="38"/>
  <c r="G7" i="38"/>
  <c r="G6" i="38"/>
  <c r="G5" i="38"/>
  <c r="G4" i="38"/>
  <c r="G8" i="37"/>
  <c r="G7" i="37"/>
  <c r="G6" i="37"/>
  <c r="G5" i="37"/>
  <c r="G4" i="37"/>
  <c r="H6" i="26"/>
  <c r="H5" i="26"/>
  <c r="H4" i="26"/>
  <c r="H3" i="26"/>
  <c r="E8" i="9"/>
  <c r="E7" i="9"/>
  <c r="E6" i="9"/>
  <c r="E5" i="9"/>
  <c r="E4" i="9"/>
  <c r="E3" i="9"/>
  <c r="E7" i="6"/>
  <c r="E6" i="6"/>
  <c r="E5" i="6"/>
  <c r="E4" i="6"/>
  <c r="E3" i="6"/>
</calcChain>
</file>

<file path=xl/sharedStrings.xml><?xml version="1.0" encoding="utf-8"?>
<sst xmlns="http://schemas.openxmlformats.org/spreadsheetml/2006/main" count="838" uniqueCount="603">
  <si>
    <t>이름</t>
  </si>
  <si>
    <t>국어</t>
  </si>
  <si>
    <t>영어</t>
  </si>
  <si>
    <t>총점</t>
  </si>
  <si>
    <t>보라미</t>
  </si>
  <si>
    <t>미라미</t>
  </si>
  <si>
    <t>김은혜</t>
  </si>
  <si>
    <t>박한솔</t>
  </si>
  <si>
    <t>품목</t>
  </si>
  <si>
    <t>수량</t>
  </si>
  <si>
    <t>단가</t>
  </si>
  <si>
    <t>금액</t>
  </si>
  <si>
    <t>TV</t>
  </si>
  <si>
    <t>세탁기</t>
  </si>
  <si>
    <t>냉장고</t>
  </si>
  <si>
    <t>컴퓨터</t>
  </si>
  <si>
    <t>총 금액</t>
  </si>
  <si>
    <t>수학</t>
  </si>
  <si>
    <t>과학</t>
  </si>
  <si>
    <t>합계</t>
  </si>
  <si>
    <t>김수범</t>
  </si>
  <si>
    <t>김상엽</t>
  </si>
  <si>
    <t>박철수</t>
  </si>
  <si>
    <t>김수환</t>
  </si>
  <si>
    <t>총계</t>
  </si>
  <si>
    <t>특별고사 성적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</si>
  <si>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</si>
  <si>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</si>
  <si>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</si>
  <si>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</si>
  <si>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평균1</t>
    <phoneticPr fontId="3" type="noConversion"/>
  </si>
  <si>
    <t>평균2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</si>
  <si>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</si>
  <si>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</si>
  <si>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</si>
  <si>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결시</t>
    <phoneticPr fontId="3" type="noConversion"/>
  </si>
  <si>
    <t>안도해</t>
    <phoneticPr fontId="3" type="noConversion"/>
  </si>
  <si>
    <t>결시</t>
    <phoneticPr fontId="3" type="noConversion"/>
  </si>
  <si>
    <t>최순이</t>
    <phoneticPr fontId="3" type="noConversion"/>
  </si>
  <si>
    <t>평균3</t>
    <phoneticPr fontId="3" type="noConversion"/>
  </si>
  <si>
    <t>평균4</t>
    <phoneticPr fontId="3" type="noConversion"/>
  </si>
  <si>
    <t>총점</t>
    <phoneticPr fontId="3" type="noConversion"/>
  </si>
  <si>
    <t>최고점수</t>
    <phoneticPr fontId="3" type="noConversion"/>
  </si>
  <si>
    <t>최저점수</t>
    <phoneticPr fontId="3" type="noConversion"/>
  </si>
  <si>
    <t>특별고사 성적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</si>
  <si>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</si>
  <si>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</si>
  <si>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</si>
  <si>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</si>
  <si>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</si>
  <si>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</si>
  <si>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</si>
  <si>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</si>
  <si>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</si>
  <si>
    <t>학생수</t>
    <phoneticPr fontId="3" type="noConversion"/>
  </si>
  <si>
    <t>응시생수</t>
    <phoneticPr fontId="3" type="noConversion"/>
  </si>
  <si>
    <t>결시생수</t>
    <phoneticPr fontId="3" type="noConversion"/>
  </si>
  <si>
    <t>90점이상</t>
    <phoneticPr fontId="3" type="noConversion"/>
  </si>
  <si>
    <t>80점이상 95점이하</t>
    <phoneticPr fontId="3" type="noConversion"/>
  </si>
  <si>
    <t>특별고사 성적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</si>
  <si>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</si>
  <si>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</si>
  <si>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</si>
  <si>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</si>
  <si>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</si>
  <si>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순위1</t>
    <phoneticPr fontId="3" type="noConversion"/>
  </si>
  <si>
    <t>순위2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</si>
  <si>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</si>
  <si>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</si>
  <si>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</si>
  <si>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</si>
  <si>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</si>
  <si>
    <t>앞에서 2위</t>
    <phoneticPr fontId="3" type="noConversion"/>
  </si>
  <si>
    <t>뒤에서 2위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</si>
  <si>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</si>
  <si>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</si>
  <si>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</si>
  <si>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</si>
  <si>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</si>
  <si>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</si>
  <si>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</si>
  <si>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</si>
  <si>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</si>
  <si>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</si>
  <si>
    <t>중간 값</t>
    <phoneticPr fontId="3" type="noConversion"/>
  </si>
  <si>
    <t>최빈 값</t>
    <phoneticPr fontId="3" type="noConversion"/>
  </si>
  <si>
    <t>분    산</t>
    <phoneticPr fontId="3" type="noConversion"/>
  </si>
  <si>
    <t>표준편차</t>
    <phoneticPr fontId="3" type="noConversion"/>
  </si>
  <si>
    <t>성적 현황</t>
    <phoneticPr fontId="3" type="noConversion"/>
  </si>
  <si>
    <t>성명</t>
    <phoneticPr fontId="3" type="noConversion"/>
  </si>
  <si>
    <t>영어</t>
    <phoneticPr fontId="3" type="noConversion"/>
  </si>
  <si>
    <t>총점</t>
    <phoneticPr fontId="3" type="noConversion"/>
  </si>
  <si>
    <t>김수정</t>
    <phoneticPr fontId="3" type="noConversion"/>
  </si>
  <si>
    <t>박정호</t>
    <phoneticPr fontId="3" type="noConversion"/>
  </si>
  <si>
    <t>최아름</t>
    <phoneticPr fontId="3" type="noConversion"/>
  </si>
  <si>
    <t>박진수</t>
    <phoneticPr fontId="3" type="noConversion"/>
  </si>
  <si>
    <t>이영호</t>
    <phoneticPr fontId="3" type="noConversion"/>
  </si>
  <si>
    <t>권민수</t>
    <phoneticPr fontId="3" type="noConversion"/>
  </si>
  <si>
    <t>등급표</t>
    <phoneticPr fontId="3" type="noConversion"/>
  </si>
  <si>
    <t>분포도</t>
    <phoneticPr fontId="3" type="noConversion"/>
  </si>
  <si>
    <t>인원수</t>
    <phoneticPr fontId="3" type="noConversion"/>
  </si>
  <si>
    <t>1-140</t>
    <phoneticPr fontId="3" type="noConversion"/>
  </si>
  <si>
    <t>141-160</t>
    <phoneticPr fontId="3" type="noConversion"/>
  </si>
  <si>
    <t>161-180</t>
    <phoneticPr fontId="3" type="noConversion"/>
  </si>
  <si>
    <t>181-200</t>
    <phoneticPr fontId="3" type="noConversion"/>
  </si>
  <si>
    <t>성적 현황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</si>
  <si>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</si>
  <si>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</si>
  <si>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</si>
  <si>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</si>
  <si>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김수정</t>
    <phoneticPr fontId="3" type="noConversion"/>
  </si>
  <si>
    <t>박정호</t>
    <phoneticPr fontId="3" type="noConversion"/>
  </si>
  <si>
    <t>최아름</t>
    <phoneticPr fontId="3" type="noConversion"/>
  </si>
  <si>
    <t>박진수</t>
    <phoneticPr fontId="3" type="noConversion"/>
  </si>
  <si>
    <t>이영호</t>
    <phoneticPr fontId="3" type="noConversion"/>
  </si>
  <si>
    <t>권민수</t>
    <phoneticPr fontId="3" type="noConversion"/>
  </si>
  <si>
    <t>기하평균</t>
    <phoneticPr fontId="3" type="noConversion"/>
  </si>
  <si>
    <t>조화평균</t>
    <phoneticPr fontId="3" type="noConversion"/>
  </si>
  <si>
    <t>80%위치
의 값</t>
    <phoneticPr fontId="3" type="noConversion"/>
  </si>
  <si>
    <t>사원별 제품 판매 현황</t>
    <phoneticPr fontId="3" type="noConversion"/>
  </si>
  <si>
    <t>사원</t>
    <phoneticPr fontId="3" type="noConversion"/>
  </si>
  <si>
    <t>제품</t>
    <phoneticPr fontId="3" type="noConversion"/>
  </si>
  <si>
    <t>수량</t>
    <phoneticPr fontId="3" type="noConversion"/>
  </si>
  <si>
    <t>단가</t>
    <phoneticPr fontId="3" type="noConversion"/>
  </si>
  <si>
    <t>실적</t>
    <phoneticPr fontId="3" type="noConversion"/>
  </si>
  <si>
    <t>고아라</t>
    <phoneticPr fontId="3" type="noConversion"/>
  </si>
  <si>
    <t>TV</t>
    <phoneticPr fontId="3" type="noConversion"/>
  </si>
  <si>
    <t>나영희</t>
    <phoneticPr fontId="3" type="noConversion"/>
  </si>
  <si>
    <t>세탁기</t>
    <phoneticPr fontId="3" type="noConversion"/>
  </si>
  <si>
    <t>박철수</t>
    <phoneticPr fontId="3" type="noConversion"/>
  </si>
  <si>
    <t>냉장고</t>
    <phoneticPr fontId="3" type="noConversion"/>
  </si>
  <si>
    <t>안도해</t>
    <phoneticPr fontId="3" type="noConversion"/>
  </si>
  <si>
    <t>컴퓨터</t>
    <phoneticPr fontId="3" type="noConversion"/>
  </si>
  <si>
    <t>평균1</t>
    <phoneticPr fontId="3" type="noConversion"/>
  </si>
  <si>
    <t>평균2</t>
  </si>
  <si>
    <t>평균3</t>
  </si>
  <si>
    <t>'고아라' 사원 실적 합계</t>
    <phoneticPr fontId="3" type="noConversion"/>
  </si>
  <si>
    <t>수량이 20 이상이고 단가가 1300 이상인 사원의 실적 합계</t>
    <phoneticPr fontId="3" type="noConversion"/>
  </si>
  <si>
    <t>서초A 대리점 판매현황</t>
    <phoneticPr fontId="3" type="noConversion"/>
  </si>
  <si>
    <t>제품</t>
    <phoneticPr fontId="3" type="noConversion"/>
  </si>
  <si>
    <t>단가</t>
    <phoneticPr fontId="3" type="noConversion"/>
  </si>
  <si>
    <t>판매량</t>
    <phoneticPr fontId="3" type="noConversion"/>
  </si>
  <si>
    <t>AAA</t>
    <phoneticPr fontId="3" type="noConversion"/>
  </si>
  <si>
    <t>BBB</t>
    <phoneticPr fontId="3" type="noConversion"/>
  </si>
  <si>
    <t>CCC</t>
    <phoneticPr fontId="3" type="noConversion"/>
  </si>
  <si>
    <t>DDD</t>
    <phoneticPr fontId="3" type="noConversion"/>
  </si>
  <si>
    <t>총판매액</t>
    <phoneticPr fontId="3" type="noConversion"/>
  </si>
  <si>
    <t>생일</t>
    <phoneticPr fontId="2" type="noConversion"/>
  </si>
  <si>
    <t>날짜</t>
    <phoneticPr fontId="2" type="noConversion"/>
  </si>
  <si>
    <t>시간</t>
    <phoneticPr fontId="2" type="noConversion"/>
  </si>
  <si>
    <t>정보 소양 능력 평가</t>
    <phoneticPr fontId="3" type="noConversion"/>
  </si>
  <si>
    <t>전산</t>
    <phoneticPr fontId="3" type="noConversion"/>
  </si>
  <si>
    <t>컴활</t>
    <phoneticPr fontId="3" type="noConversion"/>
  </si>
  <si>
    <t>실기</t>
    <phoneticPr fontId="3" type="noConversion"/>
  </si>
  <si>
    <t>평가</t>
    <phoneticPr fontId="3" type="noConversion"/>
  </si>
  <si>
    <t>박구형</t>
    <phoneticPr fontId="3" type="noConversion"/>
  </si>
  <si>
    <t>구철희</t>
    <phoneticPr fontId="3" type="noConversion"/>
  </si>
  <si>
    <t>가</t>
    <phoneticPr fontId="3" type="noConversion"/>
  </si>
  <si>
    <t>10원</t>
    <phoneticPr fontId="3" type="noConversion"/>
  </si>
  <si>
    <t>50원</t>
    <phoneticPr fontId="3" type="noConversion"/>
  </si>
  <si>
    <t>90원</t>
    <phoneticPr fontId="3" type="noConversion"/>
  </si>
  <si>
    <t>다</t>
    <phoneticPr fontId="3" type="noConversion"/>
  </si>
  <si>
    <t>20원</t>
    <phoneticPr fontId="3" type="noConversion"/>
  </si>
  <si>
    <t>60원</t>
    <phoneticPr fontId="3" type="noConversion"/>
  </si>
  <si>
    <t>100원</t>
    <phoneticPr fontId="3" type="noConversion"/>
  </si>
  <si>
    <t>마</t>
    <phoneticPr fontId="3" type="noConversion"/>
  </si>
  <si>
    <t>30원</t>
    <phoneticPr fontId="3" type="noConversion"/>
  </si>
  <si>
    <t>70원</t>
    <phoneticPr fontId="3" type="noConversion"/>
  </si>
  <si>
    <t>110원</t>
    <phoneticPr fontId="3" type="noConversion"/>
  </si>
  <si>
    <t>아</t>
    <phoneticPr fontId="3" type="noConversion"/>
  </si>
  <si>
    <t>40원</t>
    <phoneticPr fontId="3" type="noConversion"/>
  </si>
  <si>
    <t>80원</t>
    <phoneticPr fontId="3" type="noConversion"/>
  </si>
  <si>
    <t>120원</t>
    <phoneticPr fontId="3" type="noConversion"/>
  </si>
  <si>
    <t>할인율표</t>
    <phoneticPr fontId="3" type="noConversion"/>
  </si>
  <si>
    <t>할인율</t>
    <phoneticPr fontId="3" type="noConversion"/>
  </si>
  <si>
    <t>길벗 백화점 VIP 관리</t>
    <phoneticPr fontId="3" type="noConversion"/>
  </si>
  <si>
    <t>코드</t>
    <phoneticPr fontId="3" type="noConversion"/>
  </si>
  <si>
    <t>참여횟수</t>
    <phoneticPr fontId="3" type="noConversion"/>
  </si>
  <si>
    <t>참여도</t>
    <phoneticPr fontId="3" type="noConversion"/>
  </si>
  <si>
    <t>구입상품</t>
    <phoneticPr fontId="3" type="noConversion"/>
  </si>
  <si>
    <t>상품분류</t>
    <phoneticPr fontId="3" type="noConversion"/>
  </si>
  <si>
    <t>박성재</t>
    <phoneticPr fontId="3" type="noConversion"/>
  </si>
  <si>
    <t>A-100</t>
    <phoneticPr fontId="3" type="noConversion"/>
  </si>
  <si>
    <t>의류</t>
    <phoneticPr fontId="3" type="noConversion"/>
  </si>
  <si>
    <t>김아랑</t>
    <phoneticPr fontId="3" type="noConversion"/>
  </si>
  <si>
    <t>A-200</t>
    <phoneticPr fontId="3" type="noConversion"/>
  </si>
  <si>
    <t>C-100</t>
    <phoneticPr fontId="3" type="noConversion"/>
  </si>
  <si>
    <t>최정재</t>
    <phoneticPr fontId="3" type="noConversion"/>
  </si>
  <si>
    <t>B-100</t>
    <phoneticPr fontId="3" type="noConversion"/>
  </si>
  <si>
    <t>주방소품</t>
    <phoneticPr fontId="3" type="noConversion"/>
  </si>
  <si>
    <t>한성구</t>
    <phoneticPr fontId="3" type="noConversion"/>
  </si>
  <si>
    <t>B-200</t>
    <phoneticPr fontId="3" type="noConversion"/>
  </si>
  <si>
    <t>C-200</t>
    <phoneticPr fontId="3" type="noConversion"/>
  </si>
  <si>
    <t>정효주</t>
    <phoneticPr fontId="3" type="noConversion"/>
  </si>
  <si>
    <t>가전제품</t>
    <phoneticPr fontId="3" type="noConversion"/>
  </si>
  <si>
    <t>김정렬</t>
    <phoneticPr fontId="3" type="noConversion"/>
  </si>
  <si>
    <t>소극적</t>
    <phoneticPr fontId="3" type="noConversion"/>
  </si>
  <si>
    <t>보통</t>
    <phoneticPr fontId="3" type="noConversion"/>
  </si>
  <si>
    <t>적극적</t>
    <phoneticPr fontId="3" type="noConversion"/>
  </si>
  <si>
    <t>[표1]</t>
    <phoneticPr fontId="3" type="noConversion"/>
  </si>
  <si>
    <t>[등급표]</t>
    <phoneticPr fontId="3" type="noConversion"/>
  </si>
  <si>
    <t>제품코드</t>
    <phoneticPr fontId="3" type="noConversion"/>
  </si>
  <si>
    <t>제품명</t>
    <phoneticPr fontId="3" type="noConversion"/>
  </si>
  <si>
    <t>매출액</t>
    <phoneticPr fontId="3" type="noConversion"/>
  </si>
  <si>
    <t>등급</t>
    <phoneticPr fontId="3" type="noConversion"/>
  </si>
  <si>
    <t>스피커</t>
    <phoneticPr fontId="3" type="noConversion"/>
  </si>
  <si>
    <t>E</t>
    <phoneticPr fontId="3" type="noConversion"/>
  </si>
  <si>
    <t>모뎀</t>
    <phoneticPr fontId="3" type="noConversion"/>
  </si>
  <si>
    <t>D</t>
    <phoneticPr fontId="3" type="noConversion"/>
  </si>
  <si>
    <t>디스켓</t>
    <phoneticPr fontId="3" type="noConversion"/>
  </si>
  <si>
    <t>C</t>
    <phoneticPr fontId="3" type="noConversion"/>
  </si>
  <si>
    <t>토너</t>
    <phoneticPr fontId="3" type="noConversion"/>
  </si>
  <si>
    <t>B</t>
    <phoneticPr fontId="3" type="noConversion"/>
  </si>
  <si>
    <t>스캐너</t>
    <phoneticPr fontId="3" type="noConversion"/>
  </si>
  <si>
    <t>A</t>
    <phoneticPr fontId="3" type="noConversion"/>
  </si>
  <si>
    <t>[표2]</t>
    <phoneticPr fontId="3" type="noConversion"/>
  </si>
  <si>
    <t>제품코드</t>
    <phoneticPr fontId="3" type="noConversion"/>
  </si>
  <si>
    <t>제품명</t>
    <phoneticPr fontId="3" type="noConversion"/>
  </si>
  <si>
    <t>수량</t>
    <phoneticPr fontId="3" type="noConversion"/>
  </si>
  <si>
    <t>단가</t>
    <phoneticPr fontId="3" type="noConversion"/>
  </si>
  <si>
    <t>매출금액</t>
    <phoneticPr fontId="3" type="noConversion"/>
  </si>
  <si>
    <t>등급</t>
    <phoneticPr fontId="3" type="noConversion"/>
  </si>
  <si>
    <t>지역별 득표수</t>
    <phoneticPr fontId="3" type="noConversion"/>
  </si>
  <si>
    <t>이름</t>
    <phoneticPr fontId="3" type="noConversion"/>
  </si>
  <si>
    <t>A지역</t>
    <phoneticPr fontId="3" type="noConversion"/>
  </si>
  <si>
    <t>B지역</t>
    <phoneticPr fontId="3" type="noConversion"/>
  </si>
  <si>
    <t>C지역</t>
    <phoneticPr fontId="3" type="noConversion"/>
  </si>
  <si>
    <t>홍성곤</t>
    <phoneticPr fontId="3" type="noConversion"/>
  </si>
  <si>
    <t>&lt;200</t>
    <phoneticPr fontId="3" type="noConversion"/>
  </si>
  <si>
    <t>우청송</t>
    <phoneticPr fontId="3" type="noConversion"/>
  </si>
  <si>
    <t>최정호</t>
    <phoneticPr fontId="3" type="noConversion"/>
  </si>
  <si>
    <t>&gt;=250</t>
    <phoneticPr fontId="3" type="noConversion"/>
  </si>
  <si>
    <t>강구숙</t>
    <phoneticPr fontId="3" type="noConversion"/>
  </si>
  <si>
    <t>임곤준</t>
    <phoneticPr fontId="3" type="noConversion"/>
  </si>
  <si>
    <t>&lt;=100</t>
    <phoneticPr fontId="3" type="noConversion"/>
  </si>
  <si>
    <t>A지역 득표가 200 미만인 사람들의 합</t>
    <phoneticPr fontId="3" type="noConversion"/>
  </si>
  <si>
    <t>B지역 득표가 250 이상인 사람들의 평균</t>
    <phoneticPr fontId="3" type="noConversion"/>
  </si>
  <si>
    <t>C지역 득표가 100 이하인 사람들의 수</t>
    <phoneticPr fontId="3" type="noConversion"/>
  </si>
  <si>
    <t>A지역 득표가 200 미만인 사람 중 최대 득표수</t>
    <phoneticPr fontId="3" type="noConversion"/>
  </si>
  <si>
    <t>B지역 득표가 250 이상인 사람 중 최소 득표수</t>
    <phoneticPr fontId="3" type="noConversion"/>
  </si>
  <si>
    <t>B지역 득표가 250 이상인 사람들의 분산</t>
    <phoneticPr fontId="3" type="noConversion"/>
  </si>
  <si>
    <t>A지역 득표가 200 미만인 사람들의 표준편차</t>
    <phoneticPr fontId="3" type="noConversion"/>
  </si>
  <si>
    <t>'우청송'의 C지역 점수</t>
    <phoneticPr fontId="3" type="noConversion"/>
  </si>
  <si>
    <t>Gold</t>
    <phoneticPr fontId="2" type="noConversion"/>
  </si>
  <si>
    <t>Region1</t>
    <phoneticPr fontId="2" type="noConversion"/>
  </si>
  <si>
    <t>번호</t>
    <phoneticPr fontId="3" type="noConversion"/>
  </si>
  <si>
    <t>이름</t>
    <phoneticPr fontId="3" type="noConversion"/>
  </si>
  <si>
    <t>소속부서</t>
    <phoneticPr fontId="3" type="noConversion"/>
  </si>
  <si>
    <t>영어</t>
    <phoneticPr fontId="3" type="noConversion"/>
  </si>
  <si>
    <t>컴퓨터</t>
    <phoneticPr fontId="3" type="noConversion"/>
  </si>
  <si>
    <t>총점</t>
    <phoneticPr fontId="3" type="noConversion"/>
  </si>
  <si>
    <t>강현진</t>
    <phoneticPr fontId="3" type="noConversion"/>
  </si>
  <si>
    <t>개발부</t>
    <phoneticPr fontId="3" type="noConversion"/>
  </si>
  <si>
    <t>김기언</t>
    <phoneticPr fontId="3" type="noConversion"/>
  </si>
  <si>
    <t>영업부</t>
    <phoneticPr fontId="3" type="noConversion"/>
  </si>
  <si>
    <t>김철원</t>
    <phoneticPr fontId="3" type="noConversion"/>
  </si>
  <si>
    <t>남동하</t>
    <phoneticPr fontId="3" type="noConversion"/>
  </si>
  <si>
    <t>기술부</t>
    <phoneticPr fontId="3" type="noConversion"/>
  </si>
  <si>
    <t>마동윤</t>
    <phoneticPr fontId="3" type="noConversion"/>
  </si>
  <si>
    <t>사원명</t>
    <phoneticPr fontId="3" type="noConversion"/>
  </si>
  <si>
    <t>부서</t>
    <phoneticPr fontId="3" type="noConversion"/>
  </si>
  <si>
    <t>성별</t>
    <phoneticPr fontId="3" type="noConversion"/>
  </si>
  <si>
    <t>직위</t>
    <phoneticPr fontId="3" type="noConversion"/>
  </si>
  <si>
    <t>기본급</t>
    <phoneticPr fontId="3" type="noConversion"/>
  </si>
  <si>
    <t>김명진</t>
    <phoneticPr fontId="3" type="noConversion"/>
  </si>
  <si>
    <t>판매1부</t>
    <phoneticPr fontId="3" type="noConversion"/>
  </si>
  <si>
    <t>남</t>
    <phoneticPr fontId="3" type="noConversion"/>
  </si>
  <si>
    <t>부장</t>
    <phoneticPr fontId="3" type="noConversion"/>
  </si>
  <si>
    <t>부서</t>
    <phoneticPr fontId="3" type="noConversion"/>
  </si>
  <si>
    <t>인원수</t>
    <phoneticPr fontId="3" type="noConversion"/>
  </si>
  <si>
    <t>기본급 합계</t>
    <phoneticPr fontId="3" type="noConversion"/>
  </si>
  <si>
    <t>기본급 평균</t>
    <phoneticPr fontId="3" type="noConversion"/>
  </si>
  <si>
    <t>이현지</t>
    <phoneticPr fontId="3" type="noConversion"/>
  </si>
  <si>
    <t>판매2부</t>
    <phoneticPr fontId="3" type="noConversion"/>
  </si>
  <si>
    <t>여</t>
    <phoneticPr fontId="3" type="noConversion"/>
  </si>
  <si>
    <t>과장</t>
    <phoneticPr fontId="3" type="noConversion"/>
  </si>
  <si>
    <t>판매1부</t>
    <phoneticPr fontId="3" type="noConversion"/>
  </si>
  <si>
    <t>박미나</t>
    <phoneticPr fontId="3" type="noConversion"/>
  </si>
  <si>
    <t>판매3부</t>
  </si>
  <si>
    <t>대리</t>
    <phoneticPr fontId="3" type="noConversion"/>
  </si>
  <si>
    <t>판매2부</t>
    <phoneticPr fontId="3" type="noConversion"/>
  </si>
  <si>
    <t>노용수</t>
    <phoneticPr fontId="3" type="noConversion"/>
  </si>
  <si>
    <t>남</t>
    <phoneticPr fontId="3" type="noConversion"/>
  </si>
  <si>
    <t>과장</t>
    <phoneticPr fontId="3" type="noConversion"/>
  </si>
  <si>
    <t>조명섭</t>
    <phoneticPr fontId="3" type="noConversion"/>
  </si>
  <si>
    <t>김진수</t>
    <phoneticPr fontId="3" type="noConversion"/>
  </si>
  <si>
    <t>최여진</t>
    <phoneticPr fontId="3" type="noConversion"/>
  </si>
  <si>
    <t>여</t>
    <phoneticPr fontId="3" type="noConversion"/>
  </si>
  <si>
    <t>부장</t>
    <phoneticPr fontId="3" type="noConversion"/>
  </si>
  <si>
    <t>김상진</t>
    <phoneticPr fontId="3" type="noConversion"/>
  </si>
  <si>
    <t>외상매출처 대장</t>
    <phoneticPr fontId="3" type="noConversion"/>
  </si>
  <si>
    <t>(단위 : 천)</t>
    <phoneticPr fontId="3" type="noConversion"/>
  </si>
  <si>
    <t>사원명</t>
    <phoneticPr fontId="3" type="noConversion"/>
  </si>
  <si>
    <t>기본급</t>
    <phoneticPr fontId="3" type="noConversion"/>
  </si>
  <si>
    <t>수당</t>
    <phoneticPr fontId="3" type="noConversion"/>
  </si>
  <si>
    <t>지급액</t>
    <phoneticPr fontId="3" type="noConversion"/>
  </si>
  <si>
    <t>신소진</t>
    <phoneticPr fontId="3" type="noConversion"/>
  </si>
  <si>
    <t>이은철</t>
    <phoneticPr fontId="3" type="noConversion"/>
  </si>
  <si>
    <t>박희천</t>
    <phoneticPr fontId="3" type="noConversion"/>
  </si>
  <si>
    <t>노수용</t>
    <phoneticPr fontId="3" type="noConversion"/>
  </si>
  <si>
    <t>조명섭</t>
    <phoneticPr fontId="3" type="noConversion"/>
  </si>
  <si>
    <t>외상매출처 대장</t>
    <phoneticPr fontId="3" type="noConversion"/>
  </si>
  <si>
    <t>(단위 : 천)</t>
    <phoneticPr fontId="3" type="noConversion"/>
  </si>
  <si>
    <t>사원명</t>
    <phoneticPr fontId="3" type="noConversion"/>
  </si>
  <si>
    <t>수당</t>
    <phoneticPr fontId="3" type="noConversion"/>
  </si>
  <si>
    <t>지급액</t>
    <phoneticPr fontId="3" type="noConversion"/>
  </si>
  <si>
    <t>공제액</t>
    <phoneticPr fontId="3" type="noConversion"/>
  </si>
  <si>
    <t>신소진</t>
    <phoneticPr fontId="3" type="noConversion"/>
  </si>
  <si>
    <t>이은철</t>
    <phoneticPr fontId="3" type="noConversion"/>
  </si>
  <si>
    <t>박희천</t>
    <phoneticPr fontId="3" type="noConversion"/>
  </si>
  <si>
    <t>노수용</t>
    <phoneticPr fontId="3" type="noConversion"/>
  </si>
  <si>
    <t>조명섭</t>
    <phoneticPr fontId="3" type="noConversion"/>
  </si>
  <si>
    <t>외상매출처 대장</t>
    <phoneticPr fontId="3" type="noConversion"/>
  </si>
  <si>
    <t>(단위 : 천)</t>
    <phoneticPr fontId="3" type="noConversion"/>
  </si>
  <si>
    <t>사원명</t>
    <phoneticPr fontId="3" type="noConversion"/>
  </si>
  <si>
    <t>기본급</t>
    <phoneticPr fontId="3" type="noConversion"/>
  </si>
  <si>
    <t>수당</t>
    <phoneticPr fontId="3" type="noConversion"/>
  </si>
  <si>
    <t>지급액</t>
    <phoneticPr fontId="3" type="noConversion"/>
  </si>
  <si>
    <t>신소진</t>
    <phoneticPr fontId="3" type="noConversion"/>
  </si>
  <si>
    <t>이은철</t>
    <phoneticPr fontId="3" type="noConversion"/>
  </si>
  <si>
    <t>박희천</t>
    <phoneticPr fontId="3" type="noConversion"/>
  </si>
  <si>
    <t>노수용</t>
    <phoneticPr fontId="3" type="noConversion"/>
  </si>
  <si>
    <t>조명섭</t>
    <phoneticPr fontId="3" type="noConversion"/>
  </si>
  <si>
    <t>1학기 성적표</t>
    <phoneticPr fontId="3" type="noConversion"/>
  </si>
  <si>
    <t>이름</t>
    <phoneticPr fontId="3" type="noConversion"/>
  </si>
  <si>
    <t>중간고사</t>
    <phoneticPr fontId="3" type="noConversion"/>
  </si>
  <si>
    <t>기말고사</t>
    <phoneticPr fontId="3" type="noConversion"/>
  </si>
  <si>
    <t>출석점수</t>
    <phoneticPr fontId="3" type="noConversion"/>
  </si>
  <si>
    <t>김선화</t>
    <phoneticPr fontId="3" type="noConversion"/>
  </si>
  <si>
    <t>박정희</t>
    <phoneticPr fontId="3" type="noConversion"/>
  </si>
  <si>
    <t>이창희</t>
    <phoneticPr fontId="3" type="noConversion"/>
  </si>
  <si>
    <t>사미순</t>
    <phoneticPr fontId="3" type="noConversion"/>
  </si>
  <si>
    <t>조양민</t>
    <phoneticPr fontId="3" type="noConversion"/>
  </si>
  <si>
    <t>학번</t>
    <phoneticPr fontId="3" type="noConversion"/>
  </si>
  <si>
    <t>이름</t>
    <phoneticPr fontId="3" type="noConversion"/>
  </si>
  <si>
    <t>학과</t>
    <phoneticPr fontId="3" type="noConversion"/>
  </si>
  <si>
    <t>과제</t>
    <phoneticPr fontId="3" type="noConversion"/>
  </si>
  <si>
    <t>중간</t>
    <phoneticPr fontId="3" type="noConversion"/>
  </si>
  <si>
    <t>기말</t>
    <phoneticPr fontId="3" type="noConversion"/>
  </si>
  <si>
    <t>종합</t>
    <phoneticPr fontId="3" type="noConversion"/>
  </si>
  <si>
    <t>홍길동</t>
    <phoneticPr fontId="3" type="noConversion"/>
  </si>
  <si>
    <t>경영</t>
    <phoneticPr fontId="3" type="noConversion"/>
  </si>
  <si>
    <t>강감찬</t>
    <phoneticPr fontId="3" type="noConversion"/>
  </si>
  <si>
    <t>이순신</t>
    <phoneticPr fontId="3" type="noConversion"/>
  </si>
  <si>
    <t>이율곡</t>
    <phoneticPr fontId="3" type="noConversion"/>
  </si>
  <si>
    <t>상반기 영어/컴퓨터 능력 시험</t>
    <phoneticPr fontId="3" type="noConversion"/>
  </si>
  <si>
    <t>번호</t>
    <phoneticPr fontId="3" type="noConversion"/>
  </si>
  <si>
    <t>이름</t>
    <phoneticPr fontId="3" type="noConversion"/>
  </si>
  <si>
    <t>소속부서</t>
    <phoneticPr fontId="3" type="noConversion"/>
  </si>
  <si>
    <t>성별</t>
    <phoneticPr fontId="3" type="noConversion"/>
  </si>
  <si>
    <t>영어</t>
    <phoneticPr fontId="3" type="noConversion"/>
  </si>
  <si>
    <t>컴퓨터</t>
    <phoneticPr fontId="3" type="noConversion"/>
  </si>
  <si>
    <t>총점</t>
    <phoneticPr fontId="3" type="noConversion"/>
  </si>
  <si>
    <t>강현진</t>
    <phoneticPr fontId="3" type="noConversion"/>
  </si>
  <si>
    <t>개발부</t>
    <phoneticPr fontId="3" type="noConversion"/>
  </si>
  <si>
    <t>여</t>
    <phoneticPr fontId="3" type="noConversion"/>
  </si>
  <si>
    <t>김기언</t>
    <phoneticPr fontId="3" type="noConversion"/>
  </si>
  <si>
    <t>영업부</t>
    <phoneticPr fontId="3" type="noConversion"/>
  </si>
  <si>
    <t>남</t>
    <phoneticPr fontId="3" type="noConversion"/>
  </si>
  <si>
    <t>김철원</t>
    <phoneticPr fontId="3" type="noConversion"/>
  </si>
  <si>
    <t>남동하</t>
    <phoneticPr fontId="3" type="noConversion"/>
  </si>
  <si>
    <t>기술부</t>
    <phoneticPr fontId="3" type="noConversion"/>
  </si>
  <si>
    <t>마동윤</t>
    <phoneticPr fontId="3" type="noConversion"/>
  </si>
  <si>
    <t>영업부</t>
    <phoneticPr fontId="3" type="noConversion"/>
  </si>
  <si>
    <t>미라미</t>
    <phoneticPr fontId="3" type="noConversion"/>
  </si>
  <si>
    <t>총무부</t>
    <phoneticPr fontId="3" type="noConversion"/>
  </si>
  <si>
    <t>여</t>
    <phoneticPr fontId="3" type="noConversion"/>
  </si>
  <si>
    <t>박한솔</t>
    <phoneticPr fontId="3" type="noConversion"/>
  </si>
  <si>
    <t>기술부</t>
    <phoneticPr fontId="3" type="noConversion"/>
  </si>
  <si>
    <t>박이호</t>
    <phoneticPr fontId="3" type="noConversion"/>
  </si>
  <si>
    <t>박한식</t>
    <phoneticPr fontId="3" type="noConversion"/>
  </si>
  <si>
    <t>총무부</t>
    <phoneticPr fontId="3" type="noConversion"/>
  </si>
  <si>
    <t>남</t>
    <phoneticPr fontId="3" type="noConversion"/>
  </si>
  <si>
    <t>박하나</t>
    <phoneticPr fontId="3" type="noConversion"/>
  </si>
  <si>
    <t>상반기 영어/컴퓨터 능력 시험</t>
    <phoneticPr fontId="3" type="noConversion"/>
  </si>
  <si>
    <t>번호</t>
    <phoneticPr fontId="3" type="noConversion"/>
  </si>
  <si>
    <t>소속부서</t>
    <phoneticPr fontId="3" type="noConversion"/>
  </si>
  <si>
    <t>성별</t>
    <phoneticPr fontId="3" type="noConversion"/>
  </si>
  <si>
    <t>영어</t>
    <phoneticPr fontId="3" type="noConversion"/>
  </si>
  <si>
    <t>컴퓨터</t>
    <phoneticPr fontId="3" type="noConversion"/>
  </si>
  <si>
    <t>강현진</t>
    <phoneticPr fontId="3" type="noConversion"/>
  </si>
  <si>
    <t>개발부</t>
    <phoneticPr fontId="3" type="noConversion"/>
  </si>
  <si>
    <t>여</t>
    <phoneticPr fontId="3" type="noConversion"/>
  </si>
  <si>
    <t>김기언</t>
    <phoneticPr fontId="3" type="noConversion"/>
  </si>
  <si>
    <t>영업부</t>
    <phoneticPr fontId="3" type="noConversion"/>
  </si>
  <si>
    <t>김철원</t>
    <phoneticPr fontId="3" type="noConversion"/>
  </si>
  <si>
    <t>남동하</t>
    <phoneticPr fontId="3" type="noConversion"/>
  </si>
  <si>
    <t>기술부</t>
    <phoneticPr fontId="3" type="noConversion"/>
  </si>
  <si>
    <t>마동윤</t>
    <phoneticPr fontId="3" type="noConversion"/>
  </si>
  <si>
    <t>영업부</t>
    <phoneticPr fontId="3" type="noConversion"/>
  </si>
  <si>
    <t>미라미</t>
    <phoneticPr fontId="3" type="noConversion"/>
  </si>
  <si>
    <t>총무부</t>
    <phoneticPr fontId="3" type="noConversion"/>
  </si>
  <si>
    <t>박한솔</t>
    <phoneticPr fontId="3" type="noConversion"/>
  </si>
  <si>
    <t>박이호</t>
    <phoneticPr fontId="3" type="noConversion"/>
  </si>
  <si>
    <t>남</t>
    <phoneticPr fontId="3" type="noConversion"/>
  </si>
  <si>
    <t>박하나</t>
    <phoneticPr fontId="3" type="noConversion"/>
  </si>
  <si>
    <t>번호</t>
    <phoneticPr fontId="3" type="noConversion"/>
  </si>
  <si>
    <t>소속부서</t>
    <phoneticPr fontId="3" type="noConversion"/>
  </si>
  <si>
    <t>컴퓨터</t>
    <phoneticPr fontId="3" type="noConversion"/>
  </si>
  <si>
    <t>강현진</t>
    <phoneticPr fontId="3" type="noConversion"/>
  </si>
  <si>
    <t>여</t>
    <phoneticPr fontId="3" type="noConversion"/>
  </si>
  <si>
    <t>김기언</t>
    <phoneticPr fontId="3" type="noConversion"/>
  </si>
  <si>
    <t>영업부</t>
    <phoneticPr fontId="3" type="noConversion"/>
  </si>
  <si>
    <t>남</t>
    <phoneticPr fontId="3" type="noConversion"/>
  </si>
  <si>
    <t>김철원</t>
    <phoneticPr fontId="3" type="noConversion"/>
  </si>
  <si>
    <t>영업부</t>
    <phoneticPr fontId="3" type="noConversion"/>
  </si>
  <si>
    <t>남동하</t>
    <phoneticPr fontId="3" type="noConversion"/>
  </si>
  <si>
    <t>기술부</t>
    <phoneticPr fontId="3" type="noConversion"/>
  </si>
  <si>
    <t>마동윤</t>
    <phoneticPr fontId="3" type="noConversion"/>
  </si>
  <si>
    <t>미라미</t>
    <phoneticPr fontId="3" type="noConversion"/>
  </si>
  <si>
    <t>박한솔</t>
    <phoneticPr fontId="3" type="noConversion"/>
  </si>
  <si>
    <t>박이호</t>
    <phoneticPr fontId="3" type="noConversion"/>
  </si>
  <si>
    <t>번호</t>
    <phoneticPr fontId="3" type="noConversion"/>
  </si>
  <si>
    <t>이름</t>
    <phoneticPr fontId="3" type="noConversion"/>
  </si>
  <si>
    <t>성별</t>
    <phoneticPr fontId="3" type="noConversion"/>
  </si>
  <si>
    <t>영어</t>
    <phoneticPr fontId="3" type="noConversion"/>
  </si>
  <si>
    <t>컴퓨터</t>
    <phoneticPr fontId="3" type="noConversion"/>
  </si>
  <si>
    <t>총점</t>
    <phoneticPr fontId="3" type="noConversion"/>
  </si>
  <si>
    <t>강현진</t>
    <phoneticPr fontId="3" type="noConversion"/>
  </si>
  <si>
    <t>여</t>
    <phoneticPr fontId="3" type="noConversion"/>
  </si>
  <si>
    <t>김기언</t>
    <phoneticPr fontId="3" type="noConversion"/>
  </si>
  <si>
    <t>김철원</t>
    <phoneticPr fontId="3" type="noConversion"/>
  </si>
  <si>
    <t>남</t>
    <phoneticPr fontId="3" type="noConversion"/>
  </si>
  <si>
    <t>마동윤</t>
    <phoneticPr fontId="3" type="noConversion"/>
  </si>
  <si>
    <t>영업부</t>
    <phoneticPr fontId="3" type="noConversion"/>
  </si>
  <si>
    <t>기술부</t>
    <phoneticPr fontId="3" type="noConversion"/>
  </si>
  <si>
    <t>맥주 판매량</t>
    <phoneticPr fontId="3" type="noConversion"/>
  </si>
  <si>
    <t>월별</t>
    <phoneticPr fontId="3" type="noConversion"/>
  </si>
  <si>
    <t>품명</t>
    <phoneticPr fontId="3" type="noConversion"/>
  </si>
  <si>
    <t>매입수량</t>
    <phoneticPr fontId="3" type="noConversion"/>
  </si>
  <si>
    <t>매출수량</t>
    <phoneticPr fontId="3" type="noConversion"/>
  </si>
  <si>
    <t>매출금액</t>
    <phoneticPr fontId="3" type="noConversion"/>
  </si>
  <si>
    <t>1월</t>
    <phoneticPr fontId="3" type="noConversion"/>
  </si>
  <si>
    <t>라거</t>
    <phoneticPr fontId="3" type="noConversion"/>
  </si>
  <si>
    <t>2월</t>
    <phoneticPr fontId="3" type="noConversion"/>
  </si>
  <si>
    <t>3월</t>
    <phoneticPr fontId="3" type="noConversion"/>
  </si>
  <si>
    <t>1월</t>
    <phoneticPr fontId="3" type="noConversion"/>
  </si>
  <si>
    <t>카스</t>
    <phoneticPr fontId="3" type="noConversion"/>
  </si>
  <si>
    <t>2월</t>
    <phoneticPr fontId="3" type="noConversion"/>
  </si>
  <si>
    <t>3월</t>
    <phoneticPr fontId="3" type="noConversion"/>
  </si>
  <si>
    <t>카스</t>
    <phoneticPr fontId="3" type="noConversion"/>
  </si>
  <si>
    <t>상반기 영어/컴퓨터 능력 시험</t>
    <phoneticPr fontId="3" type="noConversion"/>
  </si>
  <si>
    <t>번호</t>
    <phoneticPr fontId="3" type="noConversion"/>
  </si>
  <si>
    <t>이름</t>
    <phoneticPr fontId="3" type="noConversion"/>
  </si>
  <si>
    <t>소속부서</t>
    <phoneticPr fontId="3" type="noConversion"/>
  </si>
  <si>
    <t>성별</t>
    <phoneticPr fontId="3" type="noConversion"/>
  </si>
  <si>
    <t>영어</t>
    <phoneticPr fontId="3" type="noConversion"/>
  </si>
  <si>
    <t>컴퓨터</t>
    <phoneticPr fontId="3" type="noConversion"/>
  </si>
  <si>
    <t>총점</t>
    <phoneticPr fontId="3" type="noConversion"/>
  </si>
  <si>
    <t>강현진</t>
    <phoneticPr fontId="3" type="noConversion"/>
  </si>
  <si>
    <t>개발부</t>
    <phoneticPr fontId="3" type="noConversion"/>
  </si>
  <si>
    <t>여</t>
    <phoneticPr fontId="3" type="noConversion"/>
  </si>
  <si>
    <t>김기언</t>
    <phoneticPr fontId="3" type="noConversion"/>
  </si>
  <si>
    <t>남</t>
    <phoneticPr fontId="3" type="noConversion"/>
  </si>
  <si>
    <t>김철원</t>
    <phoneticPr fontId="3" type="noConversion"/>
  </si>
  <si>
    <t>영업부</t>
    <phoneticPr fontId="3" type="noConversion"/>
  </si>
  <si>
    <t>남동하</t>
    <phoneticPr fontId="3" type="noConversion"/>
  </si>
  <si>
    <t>기술부</t>
    <phoneticPr fontId="3" type="noConversion"/>
  </si>
  <si>
    <t>미라미</t>
    <phoneticPr fontId="3" type="noConversion"/>
  </si>
  <si>
    <t>총무부</t>
    <phoneticPr fontId="3" type="noConversion"/>
  </si>
  <si>
    <t>박한솔</t>
    <phoneticPr fontId="3" type="noConversion"/>
  </si>
  <si>
    <t>기술부</t>
    <phoneticPr fontId="3" type="noConversion"/>
  </si>
  <si>
    <t>남</t>
    <phoneticPr fontId="3" type="noConversion"/>
  </si>
  <si>
    <t>박한식</t>
    <phoneticPr fontId="3" type="noConversion"/>
  </si>
  <si>
    <t>총무부</t>
    <phoneticPr fontId="3" type="noConversion"/>
  </si>
  <si>
    <t>여</t>
    <phoneticPr fontId="3" type="noConversion"/>
  </si>
  <si>
    <t>번호</t>
    <phoneticPr fontId="3" type="noConversion"/>
  </si>
  <si>
    <t>여</t>
    <phoneticPr fontId="3" type="noConversion"/>
  </si>
  <si>
    <t>남</t>
    <phoneticPr fontId="3" type="noConversion"/>
  </si>
  <si>
    <t>여</t>
    <phoneticPr fontId="3" type="noConversion"/>
  </si>
  <si>
    <t>상반기 영어/컴퓨터 능력 시험</t>
    <phoneticPr fontId="3" type="noConversion"/>
  </si>
  <si>
    <t>번호</t>
    <phoneticPr fontId="3" type="noConversion"/>
  </si>
  <si>
    <t>이름</t>
    <phoneticPr fontId="3" type="noConversion"/>
  </si>
  <si>
    <t>소속부서</t>
    <phoneticPr fontId="3" type="noConversion"/>
  </si>
  <si>
    <t>성별</t>
    <phoneticPr fontId="3" type="noConversion"/>
  </si>
  <si>
    <t>영어</t>
    <phoneticPr fontId="3" type="noConversion"/>
  </si>
  <si>
    <t>컴퓨터</t>
    <phoneticPr fontId="3" type="noConversion"/>
  </si>
  <si>
    <t>총점</t>
    <phoneticPr fontId="3" type="noConversion"/>
  </si>
  <si>
    <t>강현진</t>
    <phoneticPr fontId="3" type="noConversion"/>
  </si>
  <si>
    <t>개발부</t>
    <phoneticPr fontId="3" type="noConversion"/>
  </si>
  <si>
    <t>여</t>
    <phoneticPr fontId="3" type="noConversion"/>
  </si>
  <si>
    <t>김기언</t>
    <phoneticPr fontId="3" type="noConversion"/>
  </si>
  <si>
    <t>영업부</t>
    <phoneticPr fontId="3" type="noConversion"/>
  </si>
  <si>
    <t>남</t>
    <phoneticPr fontId="3" type="noConversion"/>
  </si>
  <si>
    <t>김철원</t>
    <phoneticPr fontId="3" type="noConversion"/>
  </si>
  <si>
    <t>남동하</t>
    <phoneticPr fontId="3" type="noConversion"/>
  </si>
  <si>
    <t>마동윤</t>
    <phoneticPr fontId="3" type="noConversion"/>
  </si>
  <si>
    <t>박이호</t>
    <phoneticPr fontId="3" type="noConversion"/>
  </si>
  <si>
    <t>박한식</t>
    <phoneticPr fontId="3" type="noConversion"/>
  </si>
  <si>
    <t>총무부</t>
    <phoneticPr fontId="3" type="noConversion"/>
  </si>
  <si>
    <t>사원 급여 현황</t>
    <phoneticPr fontId="3" type="noConversion"/>
  </si>
  <si>
    <t>성명</t>
    <phoneticPr fontId="3" type="noConversion"/>
  </si>
  <si>
    <t>근무팀</t>
    <phoneticPr fontId="3" type="noConversion"/>
  </si>
  <si>
    <t>직급</t>
    <phoneticPr fontId="3" type="noConversion"/>
  </si>
  <si>
    <t>급여</t>
    <phoneticPr fontId="3" type="noConversion"/>
  </si>
  <si>
    <t>교통비</t>
    <phoneticPr fontId="3" type="noConversion"/>
  </si>
  <si>
    <t>보조금</t>
    <phoneticPr fontId="3" type="noConversion"/>
  </si>
  <si>
    <t>정노천</t>
    <phoneticPr fontId="3" type="noConversion"/>
  </si>
  <si>
    <t>영업팀</t>
    <phoneticPr fontId="3" type="noConversion"/>
  </si>
  <si>
    <t>감사연</t>
    <phoneticPr fontId="3" type="noConversion"/>
  </si>
  <si>
    <t>총무팀</t>
    <phoneticPr fontId="3" type="noConversion"/>
  </si>
  <si>
    <t>김용철</t>
    <phoneticPr fontId="3" type="noConversion"/>
  </si>
  <si>
    <t>김용곤</t>
    <phoneticPr fontId="3" type="noConversion"/>
  </si>
  <si>
    <t>김종진</t>
    <phoneticPr fontId="3" type="noConversion"/>
  </si>
  <si>
    <t>박이호</t>
    <phoneticPr fontId="3" type="noConversion"/>
  </si>
  <si>
    <t>기술팀</t>
    <phoneticPr fontId="3" type="noConversion"/>
  </si>
  <si>
    <t>박한열</t>
    <phoneticPr fontId="3" type="noConversion"/>
  </si>
  <si>
    <t>임정호</t>
    <phoneticPr fontId="3" type="noConversion"/>
  </si>
  <si>
    <t>기술팀</t>
    <phoneticPr fontId="3" type="noConversion"/>
  </si>
  <si>
    <t>박득우</t>
    <phoneticPr fontId="3" type="noConversion"/>
  </si>
  <si>
    <t>이수영</t>
    <phoneticPr fontId="3" type="noConversion"/>
  </si>
  <si>
    <t>조용길</t>
    <phoneticPr fontId="3" type="noConversion"/>
  </si>
  <si>
    <t>평균</t>
    <phoneticPr fontId="3" type="noConversion"/>
  </si>
  <si>
    <t>개발부</t>
    <phoneticPr fontId="3" type="noConversion"/>
  </si>
  <si>
    <t>여</t>
    <phoneticPr fontId="3" type="noConversion"/>
  </si>
  <si>
    <t>영업부</t>
    <phoneticPr fontId="3" type="noConversion"/>
  </si>
  <si>
    <t>남</t>
    <phoneticPr fontId="3" type="noConversion"/>
  </si>
  <si>
    <t>마동윤</t>
    <phoneticPr fontId="3" type="noConversion"/>
  </si>
  <si>
    <t>번호</t>
    <phoneticPr fontId="3" type="noConversion"/>
  </si>
  <si>
    <t>이름</t>
    <phoneticPr fontId="3" type="noConversion"/>
  </si>
  <si>
    <t>소속부서</t>
    <phoneticPr fontId="3" type="noConversion"/>
  </si>
  <si>
    <t>영어</t>
    <phoneticPr fontId="3" type="noConversion"/>
  </si>
  <si>
    <t>평균</t>
    <phoneticPr fontId="3" type="noConversion"/>
  </si>
  <si>
    <t>강현진</t>
    <phoneticPr fontId="3" type="noConversion"/>
  </si>
  <si>
    <t>영업부</t>
    <phoneticPr fontId="3" type="noConversion"/>
  </si>
  <si>
    <t>김철원</t>
    <phoneticPr fontId="3" type="noConversion"/>
  </si>
  <si>
    <t>남</t>
    <phoneticPr fontId="3" type="noConversion"/>
  </si>
  <si>
    <t>마동윤</t>
    <phoneticPr fontId="3" type="noConversion"/>
  </si>
  <si>
    <t>판매실적</t>
    <phoneticPr fontId="3" type="noConversion"/>
  </si>
  <si>
    <t>1월</t>
    <phoneticPr fontId="3" type="noConversion"/>
  </si>
  <si>
    <t>2월</t>
  </si>
  <si>
    <t>3월</t>
  </si>
  <si>
    <t>4월</t>
  </si>
  <si>
    <t>5월</t>
  </si>
  <si>
    <t>6월</t>
  </si>
  <si>
    <t>평균</t>
    <phoneticPr fontId="3" type="noConversion"/>
  </si>
  <si>
    <t>6월</t>
    <phoneticPr fontId="3" type="noConversion"/>
  </si>
  <si>
    <t>상반기 판매현황</t>
    <phoneticPr fontId="3" type="noConversion"/>
  </si>
  <si>
    <t>하반기 판매현황</t>
    <phoneticPr fontId="3" type="noConversion"/>
  </si>
  <si>
    <t>품목</t>
    <phoneticPr fontId="3" type="noConversion"/>
  </si>
  <si>
    <t>목표량</t>
    <phoneticPr fontId="3" type="noConversion"/>
  </si>
  <si>
    <t>판매량</t>
    <phoneticPr fontId="3" type="noConversion"/>
  </si>
  <si>
    <t>품목</t>
    <phoneticPr fontId="3" type="noConversion"/>
  </si>
  <si>
    <t>목표량</t>
    <phoneticPr fontId="3" type="noConversion"/>
  </si>
  <si>
    <t>판매량</t>
    <phoneticPr fontId="3" type="noConversion"/>
  </si>
  <si>
    <t>컴퓨터</t>
    <phoneticPr fontId="3" type="noConversion"/>
  </si>
  <si>
    <t>캠코더</t>
    <phoneticPr fontId="3" type="noConversion"/>
  </si>
  <si>
    <t>스캐너</t>
    <phoneticPr fontId="3" type="noConversion"/>
  </si>
  <si>
    <t>스캐너</t>
    <phoneticPr fontId="3" type="noConversion"/>
  </si>
  <si>
    <t>프린터</t>
    <phoneticPr fontId="3" type="noConversion"/>
  </si>
  <si>
    <t>프린터</t>
    <phoneticPr fontId="3" type="noConversion"/>
  </si>
  <si>
    <t>카메라</t>
    <phoneticPr fontId="3" type="noConversion"/>
  </si>
  <si>
    <t>컴퓨터</t>
    <phoneticPr fontId="3" type="noConversion"/>
  </si>
  <si>
    <t>카메라</t>
    <phoneticPr fontId="3" type="noConversion"/>
  </si>
  <si>
    <t>품목별 최대값</t>
    <phoneticPr fontId="3" type="noConversion"/>
  </si>
  <si>
    <t>장난감 회사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</si>
  <si>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</si>
  <si>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</si>
  <si>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</si>
  <si>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B사</t>
    <phoneticPr fontId="3" type="noConversion"/>
  </si>
  <si>
    <t>C사</t>
    <phoneticPr fontId="3" type="noConversion"/>
  </si>
  <si>
    <t>사원 평가표</t>
    <phoneticPr fontId="2" type="noConversion"/>
  </si>
  <si>
    <t>사원명</t>
    <phoneticPr fontId="2" type="noConversion"/>
  </si>
  <si>
    <t>이주연</t>
    <phoneticPr fontId="2" type="noConversion"/>
  </si>
  <si>
    <t>하나영</t>
    <phoneticPr fontId="2" type="noConversion"/>
  </si>
  <si>
    <t>오국환</t>
    <phoneticPr fontId="2" type="noConversion"/>
  </si>
  <si>
    <t>우거진</t>
    <phoneticPr fontId="2" type="noConversion"/>
  </si>
  <si>
    <t>양민경</t>
    <phoneticPr fontId="2" type="noConversion"/>
  </si>
  <si>
    <t>유호연</t>
    <phoneticPr fontId="2" type="noConversion"/>
  </si>
  <si>
    <t>박도리</t>
    <phoneticPr fontId="2" type="noConversion"/>
  </si>
  <si>
    <t>차한도</t>
    <phoneticPr fontId="2" type="noConversion"/>
  </si>
  <si>
    <t>황당해</t>
    <phoneticPr fontId="2" type="noConversion"/>
  </si>
  <si>
    <t>주민등록번호</t>
    <phoneticPr fontId="2" type="noConversion"/>
  </si>
  <si>
    <t>팀명</t>
    <phoneticPr fontId="2" type="noConversion"/>
  </si>
  <si>
    <t>영업1팀</t>
    <phoneticPr fontId="2" type="noConversion"/>
  </si>
  <si>
    <t>판매2팀</t>
    <phoneticPr fontId="2" type="noConversion"/>
  </si>
  <si>
    <t>영업3팀</t>
    <phoneticPr fontId="2" type="noConversion"/>
  </si>
  <si>
    <t>영업2팀</t>
    <phoneticPr fontId="2" type="noConversion"/>
  </si>
  <si>
    <t>판매2팀</t>
    <phoneticPr fontId="2" type="noConversion"/>
  </si>
  <si>
    <t>판매1팀</t>
    <phoneticPr fontId="2" type="noConversion"/>
  </si>
  <si>
    <t>판매1팀</t>
    <phoneticPr fontId="2" type="noConversion"/>
  </si>
  <si>
    <t>판매3팀</t>
    <phoneticPr fontId="2" type="noConversion"/>
  </si>
  <si>
    <t>판매2팀</t>
    <phoneticPr fontId="2" type="noConversion"/>
  </si>
  <si>
    <t>영업2팀</t>
    <phoneticPr fontId="2" type="noConversion"/>
  </si>
  <si>
    <t>990103-2******</t>
  </si>
  <si>
    <t>881111-1******</t>
  </si>
  <si>
    <t>821114-2******</t>
  </si>
  <si>
    <t>860422-2******</t>
  </si>
  <si>
    <t>830417-2******</t>
  </si>
  <si>
    <t>750727-2******</t>
  </si>
  <si>
    <t>실적</t>
    <phoneticPr fontId="2" type="noConversion"/>
  </si>
  <si>
    <t>영어회화</t>
    <phoneticPr fontId="2" type="noConversion"/>
  </si>
  <si>
    <t>컴퓨터</t>
    <phoneticPr fontId="2" type="noConversion"/>
  </si>
  <si>
    <t>비고</t>
    <phoneticPr fontId="2" type="noConversion"/>
  </si>
  <si>
    <t>오정국</t>
    <phoneticPr fontId="2" type="noConversion"/>
  </si>
  <si>
    <t>011010-1******</t>
    <phoneticPr fontId="2" type="noConversion"/>
  </si>
  <si>
    <t>합계</t>
    <phoneticPr fontId="3" type="noConversion"/>
  </si>
  <si>
    <t>평균</t>
    <phoneticPr fontId="3" type="noConversion"/>
  </si>
  <si>
    <t>880325-3******</t>
    <phoneticPr fontId="2" type="noConversion"/>
  </si>
  <si>
    <t>001014-1******</t>
    <phoneticPr fontId="2" type="noConversion"/>
  </si>
  <si>
    <t>951101-4******</t>
    <phoneticPr fontId="2" type="noConversion"/>
  </si>
  <si>
    <t>특별고사 성적</t>
    <phoneticPr fontId="3" type="noConversion"/>
  </si>
  <si>
    <t>A사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</si>
</sst>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h&quot;시&quot;\ m&quot;분&quot;\ s&quot;초&quot;"/>
    <numFmt numFmtId="177" formatCode="&quot;₩&quot;#,##0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b/>
      <sz val="10"/>
      <name val="돋움"/>
      <family val="3"/>
      <charset val="129"/>
    </font>
    <font>
      <sz val="10"/>
      <name val="돋움"/>
      <family val="3"/>
      <charset val="129"/>
    </font>
    <font>
      <b/>
      <sz val="16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41" fontId="0" fillId="0" borderId="4" xfId="1" applyFont="1" applyBorder="1">
      <alignment vertical="center"/>
    </xf>
    <xf numFmtId="14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4" xfId="0" applyFont="1" applyBorder="1">
      <alignment vertical="center"/>
    </xf>
    <xf numFmtId="9" fontId="7" fillId="0" borderId="4" xfId="0" applyNumberFormat="1" applyFont="1" applyBorder="1">
      <alignment vertical="center"/>
    </xf>
    <xf numFmtId="14" fontId="7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9" fillId="0" borderId="4" xfId="0" applyFont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9" fillId="0" borderId="4" xfId="0" applyFont="1" applyBorder="1" applyAlignment="1">
      <alignment horizontal="left"/>
    </xf>
    <xf numFmtId="0" fontId="9" fillId="0" borderId="4" xfId="0" applyFont="1" applyBorder="1">
      <alignment vertical="center"/>
    </xf>
    <xf numFmtId="0" fontId="7" fillId="0" borderId="0" xfId="0" applyFont="1" applyAlignment="1">
      <alignment horizontal="center" vertical="center"/>
    </xf>
    <xf numFmtId="3" fontId="8" fillId="0" borderId="4" xfId="0" applyNumberFormat="1" applyFont="1" applyBorder="1" applyAlignment="1">
      <alignment horizontal="center" vertical="center"/>
    </xf>
    <xf numFmtId="41" fontId="7" fillId="0" borderId="4" xfId="1" applyFont="1" applyBorder="1" applyAlignment="1">
      <alignment horizontal="center" vertical="center"/>
    </xf>
    <xf numFmtId="3" fontId="7" fillId="0" borderId="4" xfId="0" applyNumberFormat="1" applyFont="1" applyBorder="1">
      <alignment vertical="center"/>
    </xf>
    <xf numFmtId="3" fontId="7" fillId="0" borderId="4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3" fontId="8" fillId="2" borderId="4" xfId="0" applyNumberFormat="1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" xfId="0" applyFont="1" applyBorder="1">
      <alignment vertical="center"/>
    </xf>
    <xf numFmtId="0" fontId="9" fillId="0" borderId="23" xfId="0" applyFont="1" applyBorder="1">
      <alignment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0" fontId="9" fillId="0" borderId="27" xfId="0" applyFont="1" applyBorder="1" applyAlignment="1">
      <alignment horizontal="center" vertical="center"/>
    </xf>
    <xf numFmtId="0" fontId="9" fillId="0" borderId="7" xfId="0" applyFont="1" applyBorder="1">
      <alignment vertical="center"/>
    </xf>
    <xf numFmtId="0" fontId="9" fillId="0" borderId="28" xfId="0" applyFont="1" applyBorder="1">
      <alignment vertical="center"/>
    </xf>
    <xf numFmtId="0" fontId="9" fillId="0" borderId="29" xfId="0" applyFon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" fontId="0" fillId="0" borderId="3" xfId="0" applyNumberFormat="1" applyBorder="1">
      <alignment vertical="center"/>
    </xf>
    <xf numFmtId="3" fontId="0" fillId="0" borderId="4" xfId="0" applyNumberForma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4" xfId="1" applyNumberFormat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41" fontId="9" fillId="0" borderId="4" xfId="1" applyFont="1" applyFill="1" applyBorder="1">
      <alignment vertical="center"/>
    </xf>
    <xf numFmtId="0" fontId="10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4" xfId="0" applyBorder="1" applyAlignment="1">
      <alignment horizontal="center"/>
    </xf>
    <xf numFmtId="0" fontId="9" fillId="0" borderId="4" xfId="1" applyNumberFormat="1" applyFont="1" applyBorder="1">
      <alignment vertical="center"/>
    </xf>
    <xf numFmtId="0" fontId="5" fillId="0" borderId="4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4" xfId="0" quotePrefix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9" fillId="2" borderId="4" xfId="0" applyFont="1" applyFill="1" applyBorder="1" applyAlignment="1">
      <alignment horizontal="left" vertical="center"/>
    </xf>
    <xf numFmtId="0" fontId="9" fillId="2" borderId="4" xfId="0" quotePrefix="1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외상매출처 대장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섹션89!$B$2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섹션89!$A$3:$A$7</c:f>
              <c:strCache>
                <c:ptCount val="5"/>
                <c:pt idx="0">
                  <c:v>신소진</c:v>
                </c:pt>
                <c:pt idx="1">
                  <c:v>이은철</c:v>
                </c:pt>
                <c:pt idx="2">
                  <c:v>박희천</c:v>
                </c:pt>
                <c:pt idx="3">
                  <c:v>노수용</c:v>
                </c:pt>
                <c:pt idx="4">
                  <c:v>조명섭</c:v>
                </c:pt>
              </c:strCache>
            </c:strRef>
          </c:cat>
          <c:val>
            <c:numRef>
              <c:f>섹션89!$B$3:$B$7</c:f>
              <c:numCache>
                <c:formatCode>General</c:formatCode>
                <c:ptCount val="5"/>
                <c:pt idx="0">
                  <c:v>1100</c:v>
                </c:pt>
                <c:pt idx="1">
                  <c:v>900</c:v>
                </c:pt>
                <c:pt idx="2">
                  <c:v>750</c:v>
                </c:pt>
                <c:pt idx="3">
                  <c:v>900</c:v>
                </c:pt>
                <c:pt idx="4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D-4666-AB72-3639D1C41A90}"/>
            </c:ext>
          </c:extLst>
        </c:ser>
        <c:ser>
          <c:idx val="1"/>
          <c:order val="1"/>
          <c:tx>
            <c:strRef>
              <c:f>섹션89!$C$2</c:f>
              <c:strCache>
                <c:ptCount val="1"/>
                <c:pt idx="0">
                  <c:v>수당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섹션89!$A$3:$A$7</c:f>
              <c:strCache>
                <c:ptCount val="5"/>
                <c:pt idx="0">
                  <c:v>신소진</c:v>
                </c:pt>
                <c:pt idx="1">
                  <c:v>이은철</c:v>
                </c:pt>
                <c:pt idx="2">
                  <c:v>박희천</c:v>
                </c:pt>
                <c:pt idx="3">
                  <c:v>노수용</c:v>
                </c:pt>
                <c:pt idx="4">
                  <c:v>조명섭</c:v>
                </c:pt>
              </c:strCache>
            </c:strRef>
          </c:cat>
          <c:val>
            <c:numRef>
              <c:f>섹션89!$C$3:$C$7</c:f>
              <c:numCache>
                <c:formatCode>General</c:formatCode>
                <c:ptCount val="5"/>
                <c:pt idx="0">
                  <c:v>643</c:v>
                </c:pt>
                <c:pt idx="1">
                  <c:v>517</c:v>
                </c:pt>
                <c:pt idx="2">
                  <c:v>497</c:v>
                </c:pt>
                <c:pt idx="3">
                  <c:v>517</c:v>
                </c:pt>
                <c:pt idx="4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D-4666-AB72-3639D1C41A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76850591"/>
        <c:axId val="1576848511"/>
      </c:barChart>
      <c:catAx>
        <c:axId val="15768505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6848511"/>
        <c:crosses val="autoZero"/>
        <c:auto val="1"/>
        <c:lblAlgn val="ctr"/>
        <c:lblOffset val="100"/>
        <c:noMultiLvlLbl val="0"/>
      </c:catAx>
      <c:valAx>
        <c:axId val="157684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천원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68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외상매출처 대장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섹션89!$B$2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섹션89!$A$3:$A$7</c:f>
              <c:strCache>
                <c:ptCount val="5"/>
                <c:pt idx="0">
                  <c:v>신소진</c:v>
                </c:pt>
                <c:pt idx="1">
                  <c:v>이은철</c:v>
                </c:pt>
                <c:pt idx="2">
                  <c:v>박희천</c:v>
                </c:pt>
                <c:pt idx="3">
                  <c:v>노수용</c:v>
                </c:pt>
                <c:pt idx="4">
                  <c:v>조명섭</c:v>
                </c:pt>
              </c:strCache>
            </c:strRef>
          </c:cat>
          <c:val>
            <c:numRef>
              <c:f>섹션89!$B$3:$B$7</c:f>
              <c:numCache>
                <c:formatCode>General</c:formatCode>
                <c:ptCount val="5"/>
                <c:pt idx="0">
                  <c:v>1100</c:v>
                </c:pt>
                <c:pt idx="1">
                  <c:v>900</c:v>
                </c:pt>
                <c:pt idx="2">
                  <c:v>750</c:v>
                </c:pt>
                <c:pt idx="3">
                  <c:v>900</c:v>
                </c:pt>
                <c:pt idx="4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0-48C8-9759-E4D32744B920}"/>
            </c:ext>
          </c:extLst>
        </c:ser>
        <c:ser>
          <c:idx val="1"/>
          <c:order val="1"/>
          <c:tx>
            <c:strRef>
              <c:f>섹션89!$C$2</c:f>
              <c:strCache>
                <c:ptCount val="1"/>
                <c:pt idx="0">
                  <c:v>수당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섹션89!$A$3:$A$7</c:f>
              <c:strCache>
                <c:ptCount val="5"/>
                <c:pt idx="0">
                  <c:v>신소진</c:v>
                </c:pt>
                <c:pt idx="1">
                  <c:v>이은철</c:v>
                </c:pt>
                <c:pt idx="2">
                  <c:v>박희천</c:v>
                </c:pt>
                <c:pt idx="3">
                  <c:v>노수용</c:v>
                </c:pt>
                <c:pt idx="4">
                  <c:v>조명섭</c:v>
                </c:pt>
              </c:strCache>
            </c:strRef>
          </c:cat>
          <c:val>
            <c:numRef>
              <c:f>섹션89!$C$3:$C$7</c:f>
              <c:numCache>
                <c:formatCode>General</c:formatCode>
                <c:ptCount val="5"/>
                <c:pt idx="0">
                  <c:v>643</c:v>
                </c:pt>
                <c:pt idx="1">
                  <c:v>517</c:v>
                </c:pt>
                <c:pt idx="2">
                  <c:v>497</c:v>
                </c:pt>
                <c:pt idx="3">
                  <c:v>517</c:v>
                </c:pt>
                <c:pt idx="4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0-48C8-9759-E4D32744B9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76850591"/>
        <c:axId val="1576848511"/>
      </c:barChart>
      <c:catAx>
        <c:axId val="15768505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6848511"/>
        <c:crosses val="autoZero"/>
        <c:auto val="1"/>
        <c:lblAlgn val="ctr"/>
        <c:lblOffset val="100"/>
        <c:noMultiLvlLbl val="0"/>
      </c:catAx>
      <c:valAx>
        <c:axId val="157684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천원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68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학기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섹션91!$B$2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섹션91!$A$3:$A$7</c:f>
              <c:strCache>
                <c:ptCount val="5"/>
                <c:pt idx="0">
                  <c:v>김선화</c:v>
                </c:pt>
                <c:pt idx="1">
                  <c:v>박정희</c:v>
                </c:pt>
                <c:pt idx="2">
                  <c:v>이창희</c:v>
                </c:pt>
                <c:pt idx="3">
                  <c:v>사미순</c:v>
                </c:pt>
                <c:pt idx="4">
                  <c:v>조양민</c:v>
                </c:pt>
              </c:strCache>
            </c:strRef>
          </c:cat>
          <c:val>
            <c:numRef>
              <c:f>섹션91!$B$3:$B$7</c:f>
              <c:numCache>
                <c:formatCode>General</c:formatCode>
                <c:ptCount val="5"/>
                <c:pt idx="0">
                  <c:v>85</c:v>
                </c:pt>
                <c:pt idx="1">
                  <c:v>90</c:v>
                </c:pt>
                <c:pt idx="2">
                  <c:v>88</c:v>
                </c:pt>
                <c:pt idx="3">
                  <c:v>97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8-4782-8C3D-86249CCF8C62}"/>
            </c:ext>
          </c:extLst>
        </c:ser>
        <c:ser>
          <c:idx val="1"/>
          <c:order val="1"/>
          <c:tx>
            <c:strRef>
              <c:f>섹션91!$C$2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섹션91!$A$3:$A$7</c:f>
              <c:strCache>
                <c:ptCount val="5"/>
                <c:pt idx="0">
                  <c:v>김선화</c:v>
                </c:pt>
                <c:pt idx="1">
                  <c:v>박정희</c:v>
                </c:pt>
                <c:pt idx="2">
                  <c:v>이창희</c:v>
                </c:pt>
                <c:pt idx="3">
                  <c:v>사미순</c:v>
                </c:pt>
                <c:pt idx="4">
                  <c:v>조양민</c:v>
                </c:pt>
              </c:strCache>
            </c:strRef>
          </c:cat>
          <c:val>
            <c:numRef>
              <c:f>섹션91!$C$3:$C$7</c:f>
              <c:numCache>
                <c:formatCode>General</c:formatCode>
                <c:ptCount val="5"/>
                <c:pt idx="0">
                  <c:v>95</c:v>
                </c:pt>
                <c:pt idx="1">
                  <c:v>82</c:v>
                </c:pt>
                <c:pt idx="2">
                  <c:v>88</c:v>
                </c:pt>
                <c:pt idx="3">
                  <c:v>94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8-4782-8C3D-86249CCF8C62}"/>
            </c:ext>
          </c:extLst>
        </c:ser>
        <c:ser>
          <c:idx val="2"/>
          <c:order val="2"/>
          <c:tx>
            <c:strRef>
              <c:f>섹션91!$D$2</c:f>
              <c:strCache>
                <c:ptCount val="1"/>
                <c:pt idx="0">
                  <c:v>출석점수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섹션91!$A$3:$A$7</c:f>
              <c:strCache>
                <c:ptCount val="5"/>
                <c:pt idx="0">
                  <c:v>김선화</c:v>
                </c:pt>
                <c:pt idx="1">
                  <c:v>박정희</c:v>
                </c:pt>
                <c:pt idx="2">
                  <c:v>이창희</c:v>
                </c:pt>
                <c:pt idx="3">
                  <c:v>사미순</c:v>
                </c:pt>
                <c:pt idx="4">
                  <c:v>조양민</c:v>
                </c:pt>
              </c:strCache>
            </c:strRef>
          </c:cat>
          <c:val>
            <c:numRef>
              <c:f>섹션91!$D$3:$D$7</c:f>
              <c:numCache>
                <c:formatCode>General</c:formatCode>
                <c:ptCount val="5"/>
                <c:pt idx="0">
                  <c:v>9</c:v>
                </c:pt>
                <c:pt idx="1">
                  <c:v>8</c:v>
                </c:pt>
                <c:pt idx="2">
                  <c:v>10</c:v>
                </c:pt>
                <c:pt idx="3">
                  <c:v>7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98-4782-8C3D-86249CCF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513855"/>
        <c:axId val="1656526335"/>
      </c:barChart>
      <c:catAx>
        <c:axId val="1656513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6526335"/>
        <c:crosses val="autoZero"/>
        <c:auto val="1"/>
        <c:lblAlgn val="ctr"/>
        <c:lblOffset val="100"/>
        <c:noMultiLvlLbl val="0"/>
      </c:catAx>
      <c:valAx>
        <c:axId val="165652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651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26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26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24</xdr:row>
      <xdr:rowOff>19050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/>
  </sheetViews>
  <sheetFormatPr defaultRowHeight="17.399999999999999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>
        <v>83</v>
      </c>
      <c r="C2">
        <v>78</v>
      </c>
      <c r="D2">
        <v>161</v>
      </c>
    </row>
    <row r="3" spans="1:4">
      <c r="A3" t="s">
        <v>5</v>
      </c>
      <c r="B3">
        <v>43</v>
      </c>
      <c r="C3">
        <v>62</v>
      </c>
      <c r="D3">
        <v>105</v>
      </c>
    </row>
    <row r="4" spans="1:4">
      <c r="A4" t="s">
        <v>6</v>
      </c>
      <c r="B4">
        <v>58</v>
      </c>
      <c r="C4">
        <v>70</v>
      </c>
      <c r="D4">
        <v>128</v>
      </c>
    </row>
    <row r="5" spans="1:4">
      <c r="A5" t="s">
        <v>7</v>
      </c>
      <c r="B5">
        <v>79</v>
      </c>
      <c r="C5">
        <v>66</v>
      </c>
      <c r="D5">
        <v>145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/>
  </sheetViews>
  <sheetFormatPr defaultRowHeight="17.399999999999999"/>
  <sheetData>
    <row r="1" spans="1:4">
      <c r="A1" t="s">
        <v>8</v>
      </c>
      <c r="B1" t="s">
        <v>9</v>
      </c>
      <c r="C1" t="s">
        <v>10</v>
      </c>
      <c r="D1" t="s">
        <v>11</v>
      </c>
    </row>
    <row r="2" spans="1:4">
      <c r="A2" t="s">
        <v>12</v>
      </c>
      <c r="B2">
        <v>10</v>
      </c>
      <c r="C2" s="1">
        <v>1300</v>
      </c>
      <c r="D2" s="1">
        <v>13000</v>
      </c>
    </row>
    <row r="3" spans="1:4">
      <c r="A3" t="s">
        <v>13</v>
      </c>
      <c r="B3">
        <v>15</v>
      </c>
      <c r="C3" s="1">
        <v>1200</v>
      </c>
      <c r="D3" s="1">
        <v>18000</v>
      </c>
    </row>
    <row r="4" spans="1:4">
      <c r="A4" t="s">
        <v>14</v>
      </c>
      <c r="B4">
        <v>20</v>
      </c>
      <c r="C4" s="1">
        <v>2000</v>
      </c>
      <c r="D4" s="1">
        <v>40000</v>
      </c>
    </row>
    <row r="5" spans="1:4">
      <c r="A5" t="s">
        <v>15</v>
      </c>
      <c r="B5">
        <v>13</v>
      </c>
      <c r="C5" s="1">
        <v>1400</v>
      </c>
      <c r="D5" s="1">
        <v>18200</v>
      </c>
    </row>
    <row r="7" spans="1:4">
      <c r="C7" t="s">
        <v>16</v>
      </c>
      <c r="D7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"/>
  <sheetViews>
    <sheetView workbookViewId="0"/>
  </sheetViews>
  <sheetFormatPr defaultRowHeight="17.399999999999999"/>
  <sheetData>
    <row r="1" spans="1:5">
      <c r="A1" t="s">
        <v>0</v>
      </c>
      <c r="B1" t="s">
        <v>1</v>
      </c>
      <c r="C1" t="s">
        <v>17</v>
      </c>
      <c r="D1" t="s">
        <v>18</v>
      </c>
      <c r="E1" t="s">
        <v>19</v>
      </c>
    </row>
    <row r="2" spans="1:5">
      <c r="A2" t="s">
        <v>20</v>
      </c>
      <c r="B2">
        <v>100</v>
      </c>
      <c r="C2">
        <v>100</v>
      </c>
      <c r="D2">
        <v>99</v>
      </c>
      <c r="E2">
        <v>299</v>
      </c>
    </row>
    <row r="3" spans="1:5">
      <c r="A3" t="s">
        <v>21</v>
      </c>
      <c r="B3">
        <v>99</v>
      </c>
      <c r="C3">
        <v>95</v>
      </c>
      <c r="D3">
        <v>97</v>
      </c>
      <c r="E3">
        <v>291</v>
      </c>
    </row>
    <row r="4" spans="1:5">
      <c r="A4" t="s">
        <v>22</v>
      </c>
      <c r="B4">
        <v>97</v>
      </c>
      <c r="C4">
        <v>99</v>
      </c>
      <c r="D4">
        <v>100</v>
      </c>
      <c r="E4">
        <v>296</v>
      </c>
    </row>
    <row r="5" spans="1:5">
      <c r="A5" t="s">
        <v>23</v>
      </c>
      <c r="B5">
        <v>98</v>
      </c>
      <c r="C5">
        <v>99</v>
      </c>
      <c r="D5">
        <v>98</v>
      </c>
      <c r="E5">
        <v>295</v>
      </c>
    </row>
    <row r="6" spans="1:5">
      <c r="D6" t="s">
        <v>24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workbookViewId="0">
      <selection sqref="A1:F1"/>
    </sheetView>
  </sheetViews>
  <sheetFormatPr defaultRowHeight="17.399999999999999"/>
  <sheetData>
    <row r="1" spans="1:6" ht="18" thickBot="1">
      <c r="A1" s="84" t="s">
        <v>25</v>
      </c>
      <c r="B1" s="84"/>
      <c r="C1" s="84"/>
      <c r="D1" s="84"/>
      <c r="E1" s="84"/>
      <c r="F1" s="84"/>
    </row>
    <row r="2" spans="1:6" ht="18" thickBot="1">
      <c r="A2" s="3" t="s">
        <v>26</v>
      </c>
      <c r="B2" s="3" t="s">
        <v>27</v>
      </c>
      <c r="C2" s="3" t="s">
        <v>28</v>
      </c>
      <c r="D2" s="3" t="s">
        <v>29</v>
      </c>
      <c r="E2" s="4" t="s">
        <v>30</v>
      </c>
      <c r="F2" s="4" t="s">
        <v>31</v>
      </c>
    </row>
    <row r="3" spans="1:6">
      <c r="A3" s="5" t="s">
        <v>32</v>
      </c>
      <c r="B3" s="6">
        <v>72</v>
      </c>
      <c r="C3" s="6">
        <v>90</v>
      </c>
      <c r="D3" s="6">
        <v>78</v>
      </c>
      <c r="E3" s="6"/>
      <c r="F3" s="6"/>
    </row>
    <row r="4" spans="1:6">
      <c r="A4" s="7" t="s">
        <v>33</v>
      </c>
      <c r="B4" s="8">
        <v>95</v>
      </c>
      <c r="C4" s="8">
        <v>65</v>
      </c>
      <c r="D4" s="8">
        <v>80</v>
      </c>
      <c r="E4" s="8"/>
      <c r="F4" s="8"/>
    </row>
    <row r="5" spans="1:6">
      <c r="A5" s="7" t="s">
        <v>34</v>
      </c>
      <c r="B5" s="8">
        <v>75</v>
      </c>
      <c r="C5" s="8" t="s">
        <v>35</v>
      </c>
      <c r="D5" s="8">
        <v>75</v>
      </c>
      <c r="E5" s="8"/>
      <c r="F5" s="8"/>
    </row>
    <row r="6" spans="1:6">
      <c r="A6" s="7" t="s">
        <v>36</v>
      </c>
      <c r="B6" s="8" t="s">
        <v>37</v>
      </c>
      <c r="C6" s="8">
        <v>98</v>
      </c>
      <c r="D6" s="8">
        <v>100</v>
      </c>
      <c r="E6" s="8"/>
      <c r="F6" s="8"/>
    </row>
    <row r="7" spans="1:6" ht="18" thickBot="1">
      <c r="A7" s="9" t="s">
        <v>38</v>
      </c>
      <c r="B7" s="10">
        <v>85</v>
      </c>
      <c r="C7" s="10">
        <v>100</v>
      </c>
      <c r="D7" s="10">
        <v>85</v>
      </c>
      <c r="E7" s="10"/>
      <c r="F7" s="10"/>
    </row>
    <row r="8" spans="1:6">
      <c r="A8" s="11" t="s">
        <v>39</v>
      </c>
      <c r="B8" s="12"/>
      <c r="C8" s="12"/>
      <c r="D8" s="12"/>
      <c r="E8" s="85"/>
      <c r="F8" s="85"/>
    </row>
    <row r="9" spans="1:6">
      <c r="A9" s="13" t="s">
        <v>40</v>
      </c>
      <c r="B9" s="8"/>
      <c r="C9" s="8"/>
      <c r="D9" s="8"/>
      <c r="E9" s="86"/>
      <c r="F9" s="86"/>
    </row>
    <row r="10" spans="1:6">
      <c r="A10" s="13" t="s">
        <v>41</v>
      </c>
      <c r="B10" s="8"/>
      <c r="C10" s="8"/>
      <c r="D10" s="8"/>
      <c r="E10" s="86"/>
      <c r="F10" s="86"/>
    </row>
    <row r="11" spans="1:6">
      <c r="A11" s="13" t="s">
        <v>42</v>
      </c>
      <c r="B11" s="8"/>
      <c r="C11" s="8"/>
      <c r="D11" s="8"/>
      <c r="E11" s="86"/>
      <c r="F11" s="86"/>
    </row>
    <row r="12" spans="1:6" ht="18" thickBot="1">
      <c r="A12" s="14" t="s">
        <v>43</v>
      </c>
      <c r="B12" s="15"/>
      <c r="C12" s="15"/>
      <c r="D12" s="15"/>
      <c r="E12" s="87"/>
      <c r="F12" s="87"/>
    </row>
  </sheetData>
  <mergeCells count="2">
    <mergeCell ref="A1:F1"/>
    <mergeCell ref="E8:F1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workbookViewId="0">
      <selection sqref="A1:D1"/>
    </sheetView>
  </sheetViews>
  <sheetFormatPr defaultRowHeight="17.399999999999999"/>
  <cols>
    <col min="1" max="1" width="18.09765625" bestFit="1" customWidth="1"/>
  </cols>
  <sheetData>
    <row r="1" spans="1:4" ht="18" thickBot="1">
      <c r="A1" s="84" t="s">
        <v>44</v>
      </c>
      <c r="B1" s="84"/>
      <c r="C1" s="84"/>
      <c r="D1" s="84"/>
    </row>
    <row r="2" spans="1:4" ht="18" thickBot="1">
      <c r="A2" s="16" t="s">
        <v>45</v>
      </c>
      <c r="B2" s="3" t="s">
        <v>46</v>
      </c>
      <c r="C2" s="3" t="s">
        <v>47</v>
      </c>
      <c r="D2" s="17" t="s">
        <v>48</v>
      </c>
    </row>
    <row r="3" spans="1:4">
      <c r="A3" s="18" t="s">
        <v>49</v>
      </c>
      <c r="B3" s="6">
        <v>72</v>
      </c>
      <c r="C3" s="6">
        <v>90</v>
      </c>
      <c r="D3" s="19">
        <v>78</v>
      </c>
    </row>
    <row r="4" spans="1:4">
      <c r="A4" s="20" t="s">
        <v>50</v>
      </c>
      <c r="B4" s="8">
        <v>95</v>
      </c>
      <c r="C4" s="8">
        <v>65</v>
      </c>
      <c r="D4" s="21">
        <v>0</v>
      </c>
    </row>
    <row r="5" spans="1:4">
      <c r="A5" s="20" t="s">
        <v>51</v>
      </c>
      <c r="B5" s="8">
        <v>75</v>
      </c>
      <c r="C5" s="8"/>
      <c r="D5" s="21">
        <v>75</v>
      </c>
    </row>
    <row r="6" spans="1:4">
      <c r="A6" s="20" t="s">
        <v>52</v>
      </c>
      <c r="B6" s="8"/>
      <c r="C6" s="8">
        <v>98</v>
      </c>
      <c r="D6" s="21">
        <v>100</v>
      </c>
    </row>
    <row r="7" spans="1:4" ht="18" thickBot="1">
      <c r="A7" s="22" t="s">
        <v>53</v>
      </c>
      <c r="B7" s="15">
        <v>85</v>
      </c>
      <c r="C7" s="15">
        <v>100</v>
      </c>
      <c r="D7" s="23">
        <v>85</v>
      </c>
    </row>
    <row r="8" spans="1:4">
      <c r="A8" s="24" t="s">
        <v>54</v>
      </c>
      <c r="B8" s="6"/>
      <c r="C8" s="6"/>
      <c r="D8" s="19"/>
    </row>
    <row r="9" spans="1:4">
      <c r="A9" s="25" t="s">
        <v>55</v>
      </c>
      <c r="B9" s="8"/>
      <c r="C9" s="8"/>
      <c r="D9" s="21"/>
    </row>
    <row r="10" spans="1:4">
      <c r="A10" s="25" t="s">
        <v>56</v>
      </c>
      <c r="B10" s="8"/>
      <c r="C10" s="8"/>
      <c r="D10" s="21"/>
    </row>
    <row r="11" spans="1:4">
      <c r="A11" s="25" t="s">
        <v>57</v>
      </c>
      <c r="B11" s="8"/>
      <c r="C11" s="8"/>
      <c r="D11" s="21"/>
    </row>
    <row r="12" spans="1:4">
      <c r="A12" s="25" t="s">
        <v>58</v>
      </c>
      <c r="B12" s="8"/>
      <c r="C12" s="8"/>
      <c r="D12" s="21"/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workbookViewId="0">
      <selection sqref="A1:G1"/>
    </sheetView>
  </sheetViews>
  <sheetFormatPr defaultRowHeight="17.399999999999999"/>
  <cols>
    <col min="1" max="1" width="10.59765625" bestFit="1" customWidth="1"/>
    <col min="6" max="6" width="9.19921875" customWidth="1"/>
  </cols>
  <sheetData>
    <row r="1" spans="1:7" ht="18" thickBot="1">
      <c r="A1" s="88" t="s">
        <v>59</v>
      </c>
      <c r="B1" s="88"/>
      <c r="C1" s="88"/>
      <c r="D1" s="88"/>
      <c r="E1" s="88"/>
      <c r="F1" s="88"/>
      <c r="G1" s="88"/>
    </row>
    <row r="2" spans="1:7" ht="18" thickBot="1">
      <c r="A2" s="16" t="s">
        <v>60</v>
      </c>
      <c r="B2" s="3" t="s">
        <v>61</v>
      </c>
      <c r="C2" s="3" t="s">
        <v>62</v>
      </c>
      <c r="D2" s="17" t="s">
        <v>63</v>
      </c>
      <c r="E2" s="17" t="s">
        <v>64</v>
      </c>
      <c r="F2" s="26" t="s">
        <v>65</v>
      </c>
      <c r="G2" s="26" t="s">
        <v>66</v>
      </c>
    </row>
    <row r="3" spans="1:7">
      <c r="A3" s="18" t="s">
        <v>67</v>
      </c>
      <c r="B3" s="6">
        <v>72</v>
      </c>
      <c r="C3" s="6">
        <v>90</v>
      </c>
      <c r="D3" s="6">
        <v>78</v>
      </c>
      <c r="E3" s="6">
        <f>SUM(B3:D3)</f>
        <v>240</v>
      </c>
      <c r="F3" s="19"/>
      <c r="G3" s="19"/>
    </row>
    <row r="4" spans="1:7">
      <c r="A4" s="20" t="s">
        <v>68</v>
      </c>
      <c r="B4" s="8">
        <v>95</v>
      </c>
      <c r="C4" s="8">
        <v>65</v>
      </c>
      <c r="D4" s="8">
        <v>0</v>
      </c>
      <c r="E4" s="8">
        <f>SUM(B4:D4)</f>
        <v>160</v>
      </c>
      <c r="F4" s="19"/>
      <c r="G4" s="19"/>
    </row>
    <row r="5" spans="1:7">
      <c r="A5" s="20" t="s">
        <v>69</v>
      </c>
      <c r="B5" s="8">
        <v>80</v>
      </c>
      <c r="C5" s="8"/>
      <c r="D5" s="8">
        <v>80</v>
      </c>
      <c r="E5" s="8">
        <f>SUM(B5:D5)</f>
        <v>160</v>
      </c>
      <c r="F5" s="19"/>
      <c r="G5" s="19"/>
    </row>
    <row r="6" spans="1:7">
      <c r="A6" s="20" t="s">
        <v>70</v>
      </c>
      <c r="B6" s="8"/>
      <c r="C6" s="8">
        <v>98</v>
      </c>
      <c r="D6" s="8">
        <v>100</v>
      </c>
      <c r="E6" s="8">
        <f>SUM(B6:D6)</f>
        <v>198</v>
      </c>
      <c r="F6" s="19"/>
      <c r="G6" s="19"/>
    </row>
    <row r="7" spans="1:7" ht="18" thickBot="1">
      <c r="A7" s="22" t="s">
        <v>71</v>
      </c>
      <c r="B7" s="15">
        <v>85</v>
      </c>
      <c r="C7" s="15">
        <v>100</v>
      </c>
      <c r="D7" s="15">
        <v>85</v>
      </c>
      <c r="E7" s="15">
        <f>SUM(B7:D7)</f>
        <v>270</v>
      </c>
      <c r="F7" s="23"/>
      <c r="G7" s="23"/>
    </row>
    <row r="8" spans="1:7">
      <c r="A8" s="24" t="s">
        <v>72</v>
      </c>
      <c r="B8" s="6"/>
      <c r="C8" s="6"/>
      <c r="D8" s="6"/>
      <c r="E8" s="6"/>
      <c r="F8" s="6"/>
      <c r="G8" s="27"/>
    </row>
    <row r="9" spans="1:7">
      <c r="A9" s="25" t="s">
        <v>73</v>
      </c>
      <c r="B9" s="8"/>
      <c r="C9" s="8"/>
      <c r="D9" s="8"/>
      <c r="E9" s="8"/>
      <c r="F9" s="8"/>
      <c r="G9" s="21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1"/>
  <sheetViews>
    <sheetView workbookViewId="0">
      <selection sqref="A1:E1"/>
    </sheetView>
  </sheetViews>
  <sheetFormatPr defaultRowHeight="17.399999999999999"/>
  <cols>
    <col min="2" max="5" width="8.19921875" customWidth="1"/>
  </cols>
  <sheetData>
    <row r="1" spans="1:5" ht="18" thickBot="1">
      <c r="A1" s="89" t="s">
        <v>601</v>
      </c>
      <c r="B1" s="89"/>
      <c r="C1" s="89"/>
      <c r="D1" s="89"/>
      <c r="E1" s="89"/>
    </row>
    <row r="2" spans="1:5" ht="18" thickBot="1">
      <c r="A2" s="16" t="s">
        <v>74</v>
      </c>
      <c r="B2" s="3" t="s">
        <v>75</v>
      </c>
      <c r="C2" s="3" t="s">
        <v>76</v>
      </c>
      <c r="D2" s="17" t="s">
        <v>77</v>
      </c>
      <c r="E2" s="17" t="s">
        <v>78</v>
      </c>
    </row>
    <row r="3" spans="1:5">
      <c r="A3" s="18" t="s">
        <v>79</v>
      </c>
      <c r="B3" s="6">
        <v>70</v>
      </c>
      <c r="C3" s="6">
        <v>90</v>
      </c>
      <c r="D3" s="6">
        <v>88</v>
      </c>
      <c r="E3" s="19">
        <v>248</v>
      </c>
    </row>
    <row r="4" spans="1:5">
      <c r="A4" s="20" t="s">
        <v>80</v>
      </c>
      <c r="B4" s="8">
        <v>70</v>
      </c>
      <c r="C4" s="8">
        <v>65</v>
      </c>
      <c r="D4" s="8">
        <v>70</v>
      </c>
      <c r="E4" s="21">
        <v>205</v>
      </c>
    </row>
    <row r="5" spans="1:5">
      <c r="A5" s="20" t="s">
        <v>81</v>
      </c>
      <c r="B5" s="8">
        <v>75</v>
      </c>
      <c r="C5" s="8">
        <v>98</v>
      </c>
      <c r="D5" s="8">
        <v>75</v>
      </c>
      <c r="E5" s="21">
        <v>248</v>
      </c>
    </row>
    <row r="6" spans="1:5">
      <c r="A6" s="20" t="s">
        <v>82</v>
      </c>
      <c r="B6" s="8">
        <v>80</v>
      </c>
      <c r="C6" s="8">
        <v>98</v>
      </c>
      <c r="D6" s="8">
        <v>100</v>
      </c>
      <c r="E6" s="21">
        <v>278</v>
      </c>
    </row>
    <row r="7" spans="1:5" ht="18" thickBot="1">
      <c r="A7" s="22" t="s">
        <v>83</v>
      </c>
      <c r="B7" s="15">
        <v>85</v>
      </c>
      <c r="C7" s="15">
        <v>90</v>
      </c>
      <c r="D7" s="15">
        <v>70</v>
      </c>
      <c r="E7" s="23">
        <v>245</v>
      </c>
    </row>
    <row r="8" spans="1:5">
      <c r="A8" s="24" t="s">
        <v>84</v>
      </c>
      <c r="B8" s="6"/>
      <c r="C8" s="6"/>
      <c r="D8" s="27"/>
      <c r="E8" s="27"/>
    </row>
    <row r="9" spans="1:5">
      <c r="A9" s="25" t="s">
        <v>85</v>
      </c>
      <c r="B9" s="8"/>
      <c r="C9" s="8"/>
      <c r="D9" s="21"/>
      <c r="E9" s="21"/>
    </row>
    <row r="10" spans="1:5">
      <c r="A10" s="25" t="s">
        <v>86</v>
      </c>
      <c r="B10" s="8"/>
      <c r="C10" s="8"/>
      <c r="D10" s="21"/>
      <c r="E10" s="21"/>
    </row>
    <row r="11" spans="1:5">
      <c r="A11" s="25" t="s">
        <v>87</v>
      </c>
      <c r="B11" s="8"/>
      <c r="C11" s="8"/>
      <c r="D11" s="21"/>
      <c r="E11" s="21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4"/>
  <sheetViews>
    <sheetView workbookViewId="0">
      <selection sqref="A1:D1"/>
    </sheetView>
  </sheetViews>
  <sheetFormatPr defaultRowHeight="17.399999999999999"/>
  <sheetData>
    <row r="1" spans="1:4">
      <c r="A1" s="90" t="s">
        <v>88</v>
      </c>
      <c r="B1" s="91"/>
      <c r="C1" s="91"/>
      <c r="D1" s="91"/>
    </row>
    <row r="2" spans="1:4">
      <c r="A2" s="7" t="s">
        <v>89</v>
      </c>
      <c r="B2" s="7" t="s">
        <v>27</v>
      </c>
      <c r="C2" s="7" t="s">
        <v>90</v>
      </c>
      <c r="D2" s="7" t="s">
        <v>91</v>
      </c>
    </row>
    <row r="3" spans="1:4">
      <c r="A3" s="7" t="s">
        <v>92</v>
      </c>
      <c r="B3" s="8">
        <v>80</v>
      </c>
      <c r="C3" s="8">
        <v>73</v>
      </c>
      <c r="D3" s="8">
        <v>153</v>
      </c>
    </row>
    <row r="4" spans="1:4">
      <c r="A4" s="7" t="s">
        <v>93</v>
      </c>
      <c r="B4" s="8">
        <v>98</v>
      </c>
      <c r="C4" s="8">
        <v>100</v>
      </c>
      <c r="D4" s="8">
        <v>198</v>
      </c>
    </row>
    <row r="5" spans="1:4">
      <c r="A5" s="7" t="s">
        <v>94</v>
      </c>
      <c r="B5" s="8">
        <v>80</v>
      </c>
      <c r="C5" s="8">
        <v>94</v>
      </c>
      <c r="D5" s="8">
        <v>174</v>
      </c>
    </row>
    <row r="6" spans="1:4">
      <c r="A6" s="7" t="s">
        <v>95</v>
      </c>
      <c r="B6" s="8">
        <v>85</v>
      </c>
      <c r="C6" s="8">
        <v>90</v>
      </c>
      <c r="D6" s="8">
        <v>175</v>
      </c>
    </row>
    <row r="7" spans="1:4">
      <c r="A7" s="7" t="s">
        <v>96</v>
      </c>
      <c r="B7" s="8">
        <v>77</v>
      </c>
      <c r="C7" s="8">
        <v>75</v>
      </c>
      <c r="D7" s="8">
        <v>152</v>
      </c>
    </row>
    <row r="8" spans="1:4">
      <c r="A8" s="7" t="s">
        <v>97</v>
      </c>
      <c r="B8" s="8">
        <v>95</v>
      </c>
      <c r="C8" s="8">
        <v>83</v>
      </c>
      <c r="D8" s="8">
        <v>178</v>
      </c>
    </row>
    <row r="10" spans="1:4">
      <c r="A10" s="7" t="s">
        <v>98</v>
      </c>
      <c r="B10" s="28"/>
      <c r="C10" s="7" t="s">
        <v>99</v>
      </c>
      <c r="D10" s="13" t="s">
        <v>100</v>
      </c>
    </row>
    <row r="11" spans="1:4">
      <c r="A11" s="7">
        <v>140</v>
      </c>
      <c r="B11" s="28"/>
      <c r="C11" s="7" t="s">
        <v>101</v>
      </c>
      <c r="D11" s="7"/>
    </row>
    <row r="12" spans="1:4">
      <c r="A12" s="7">
        <v>160</v>
      </c>
      <c r="B12" s="28"/>
      <c r="C12" s="7" t="s">
        <v>102</v>
      </c>
      <c r="D12" s="7"/>
    </row>
    <row r="13" spans="1:4">
      <c r="A13" s="7">
        <v>180</v>
      </c>
      <c r="B13" s="28"/>
      <c r="C13" s="7" t="s">
        <v>103</v>
      </c>
      <c r="D13" s="7"/>
    </row>
    <row r="14" spans="1:4">
      <c r="A14" s="7">
        <v>200</v>
      </c>
      <c r="B14" s="28"/>
      <c r="C14" s="7" t="s">
        <v>104</v>
      </c>
      <c r="D14" s="7"/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1"/>
  <sheetViews>
    <sheetView workbookViewId="0">
      <selection sqref="A1:E1"/>
    </sheetView>
  </sheetViews>
  <sheetFormatPr defaultRowHeight="17.399999999999999"/>
  <cols>
    <col min="2" max="5" width="7.19921875" customWidth="1"/>
  </cols>
  <sheetData>
    <row r="1" spans="1:5">
      <c r="A1" s="90" t="s">
        <v>105</v>
      </c>
      <c r="B1" s="90"/>
      <c r="C1" s="90"/>
      <c r="D1" s="90"/>
      <c r="E1" s="90"/>
    </row>
    <row r="2" spans="1:5">
      <c r="A2" s="7" t="s">
        <v>106</v>
      </c>
      <c r="B2" s="7" t="s">
        <v>107</v>
      </c>
      <c r="C2" s="7" t="s">
        <v>108</v>
      </c>
      <c r="D2" s="7" t="s">
        <v>109</v>
      </c>
      <c r="E2" s="7" t="s">
        <v>41</v>
      </c>
    </row>
    <row r="3" spans="1:5">
      <c r="A3" s="7" t="s">
        <v>110</v>
      </c>
      <c r="B3" s="8">
        <v>75</v>
      </c>
      <c r="C3" s="8">
        <v>73</v>
      </c>
      <c r="D3" s="8">
        <v>80</v>
      </c>
      <c r="E3" s="8">
        <f t="shared" ref="E3:E8" si="0">SUM(B3:D3)</f>
        <v>228</v>
      </c>
    </row>
    <row r="4" spans="1:5">
      <c r="A4" s="7" t="s">
        <v>111</v>
      </c>
      <c r="B4" s="8">
        <v>79</v>
      </c>
      <c r="C4" s="8">
        <v>71</v>
      </c>
      <c r="D4" s="8">
        <v>70</v>
      </c>
      <c r="E4" s="8">
        <f t="shared" si="0"/>
        <v>220</v>
      </c>
    </row>
    <row r="5" spans="1:5">
      <c r="A5" s="7" t="s">
        <v>112</v>
      </c>
      <c r="B5" s="8">
        <v>71</v>
      </c>
      <c r="C5" s="8">
        <v>68</v>
      </c>
      <c r="D5" s="8">
        <v>64</v>
      </c>
      <c r="E5" s="8">
        <f t="shared" si="0"/>
        <v>203</v>
      </c>
    </row>
    <row r="6" spans="1:5">
      <c r="A6" s="7" t="s">
        <v>113</v>
      </c>
      <c r="B6" s="8">
        <v>85</v>
      </c>
      <c r="C6" s="8">
        <v>90</v>
      </c>
      <c r="D6" s="8">
        <v>98</v>
      </c>
      <c r="E6" s="8">
        <f t="shared" si="0"/>
        <v>273</v>
      </c>
    </row>
    <row r="7" spans="1:5">
      <c r="A7" s="7" t="s">
        <v>114</v>
      </c>
      <c r="B7" s="8">
        <v>77</v>
      </c>
      <c r="C7" s="8">
        <v>75</v>
      </c>
      <c r="D7" s="8">
        <v>79</v>
      </c>
      <c r="E7" s="8">
        <f t="shared" si="0"/>
        <v>231</v>
      </c>
    </row>
    <row r="8" spans="1:5">
      <c r="A8" s="7" t="s">
        <v>115</v>
      </c>
      <c r="B8" s="8">
        <v>88</v>
      </c>
      <c r="C8" s="8">
        <v>83</v>
      </c>
      <c r="D8" s="8">
        <v>79</v>
      </c>
      <c r="E8" s="8">
        <f t="shared" si="0"/>
        <v>250</v>
      </c>
    </row>
    <row r="9" spans="1:5">
      <c r="A9" s="29" t="s">
        <v>116</v>
      </c>
      <c r="B9" s="8"/>
      <c r="C9" s="8"/>
      <c r="D9" s="8"/>
      <c r="E9" s="8"/>
    </row>
    <row r="10" spans="1:5">
      <c r="A10" s="29" t="s">
        <v>117</v>
      </c>
      <c r="B10" s="8"/>
      <c r="C10" s="8"/>
      <c r="D10" s="8"/>
      <c r="E10" s="8"/>
    </row>
    <row r="11" spans="1:5" ht="34.799999999999997">
      <c r="A11" s="30" t="s">
        <v>118</v>
      </c>
      <c r="B11" s="8"/>
      <c r="C11" s="8"/>
      <c r="D11" s="8"/>
      <c r="E11" s="8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7"/>
  <sheetViews>
    <sheetView workbookViewId="0">
      <selection sqref="A1:E1"/>
    </sheetView>
  </sheetViews>
  <sheetFormatPr defaultRowHeight="17.399999999999999"/>
  <cols>
    <col min="1" max="4" width="12.5" customWidth="1"/>
    <col min="5" max="5" width="12" customWidth="1"/>
  </cols>
  <sheetData>
    <row r="1" spans="1:5">
      <c r="A1" s="93" t="s">
        <v>119</v>
      </c>
      <c r="B1" s="93"/>
      <c r="C1" s="93"/>
      <c r="D1" s="93"/>
      <c r="E1" s="93"/>
    </row>
    <row r="3" spans="1:5">
      <c r="A3" s="7" t="s">
        <v>120</v>
      </c>
      <c r="B3" s="7" t="s">
        <v>121</v>
      </c>
      <c r="C3" s="7" t="s">
        <v>122</v>
      </c>
      <c r="D3" s="7" t="s">
        <v>123</v>
      </c>
      <c r="E3" s="13" t="s">
        <v>124</v>
      </c>
    </row>
    <row r="4" spans="1:5">
      <c r="A4" s="7" t="s">
        <v>125</v>
      </c>
      <c r="B4" s="7" t="s">
        <v>126</v>
      </c>
      <c r="C4" s="8">
        <v>10</v>
      </c>
      <c r="D4" s="8">
        <v>1300</v>
      </c>
      <c r="E4" s="8"/>
    </row>
    <row r="5" spans="1:5">
      <c r="A5" s="7" t="s">
        <v>127</v>
      </c>
      <c r="B5" s="7" t="s">
        <v>128</v>
      </c>
      <c r="C5" s="8">
        <v>15</v>
      </c>
      <c r="D5" s="8">
        <v>1200</v>
      </c>
      <c r="E5" s="8"/>
    </row>
    <row r="6" spans="1:5">
      <c r="A6" s="7" t="s">
        <v>129</v>
      </c>
      <c r="B6" s="7" t="s">
        <v>130</v>
      </c>
      <c r="C6" s="8">
        <v>20</v>
      </c>
      <c r="D6" s="8">
        <v>2000</v>
      </c>
      <c r="E6" s="8"/>
    </row>
    <row r="7" spans="1:5">
      <c r="A7" s="7" t="s">
        <v>131</v>
      </c>
      <c r="B7" s="7" t="s">
        <v>132</v>
      </c>
      <c r="C7" s="8">
        <v>13</v>
      </c>
      <c r="D7" s="8">
        <v>1400</v>
      </c>
      <c r="E7" s="8"/>
    </row>
    <row r="8" spans="1:5">
      <c r="A8" s="7" t="s">
        <v>125</v>
      </c>
      <c r="B8" s="7" t="s">
        <v>128</v>
      </c>
      <c r="C8" s="8">
        <v>8</v>
      </c>
      <c r="D8" s="8">
        <v>1200</v>
      </c>
      <c r="E8" s="8"/>
    </row>
    <row r="9" spans="1:5">
      <c r="A9" s="7" t="s">
        <v>127</v>
      </c>
      <c r="B9" s="7" t="s">
        <v>132</v>
      </c>
      <c r="C9" s="8">
        <v>23</v>
      </c>
      <c r="D9" s="8">
        <v>1400</v>
      </c>
      <c r="E9" s="8"/>
    </row>
    <row r="10" spans="1:5">
      <c r="A10" s="7" t="s">
        <v>129</v>
      </c>
      <c r="B10" s="7" t="s">
        <v>130</v>
      </c>
      <c r="C10" s="8">
        <v>18</v>
      </c>
      <c r="D10" s="8">
        <v>2000</v>
      </c>
      <c r="E10" s="8"/>
    </row>
    <row r="11" spans="1:5">
      <c r="A11" s="7" t="s">
        <v>131</v>
      </c>
      <c r="B11" s="7" t="s">
        <v>126</v>
      </c>
      <c r="C11" s="8">
        <v>19</v>
      </c>
      <c r="D11" s="8">
        <v>1300</v>
      </c>
      <c r="E11" s="8"/>
    </row>
    <row r="12" spans="1:5">
      <c r="A12" s="7" t="s">
        <v>129</v>
      </c>
      <c r="B12" s="7" t="s">
        <v>132</v>
      </c>
      <c r="C12" s="8">
        <v>24</v>
      </c>
      <c r="D12" s="8">
        <v>1400</v>
      </c>
      <c r="E12" s="8"/>
    </row>
    <row r="13" spans="1:5">
      <c r="A13" s="92" t="s">
        <v>133</v>
      </c>
      <c r="B13" s="92"/>
      <c r="C13" s="8"/>
      <c r="D13" s="8"/>
      <c r="E13" s="8"/>
    </row>
    <row r="14" spans="1:5">
      <c r="A14" s="92" t="s">
        <v>134</v>
      </c>
      <c r="B14" s="92"/>
      <c r="C14" s="8"/>
      <c r="D14" s="8"/>
      <c r="E14" s="8"/>
    </row>
    <row r="15" spans="1:5">
      <c r="A15" s="92" t="s">
        <v>135</v>
      </c>
      <c r="B15" s="92"/>
      <c r="C15" s="8"/>
      <c r="D15" s="8"/>
      <c r="E15" s="8"/>
    </row>
    <row r="16" spans="1:5">
      <c r="A16" s="94" t="s">
        <v>136</v>
      </c>
      <c r="B16" s="94"/>
      <c r="C16" s="94"/>
      <c r="D16" s="94"/>
      <c r="E16" s="8"/>
    </row>
    <row r="17" spans="1:5">
      <c r="A17" s="92" t="s">
        <v>137</v>
      </c>
      <c r="B17" s="92"/>
      <c r="C17" s="92"/>
      <c r="D17" s="92"/>
      <c r="E17" s="8"/>
    </row>
  </sheetData>
  <mergeCells count="6">
    <mergeCell ref="A17:D17"/>
    <mergeCell ref="A1:E1"/>
    <mergeCell ref="A13:B13"/>
    <mergeCell ref="A14:B14"/>
    <mergeCell ref="A15:B15"/>
    <mergeCell ref="A16:D16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8"/>
  <sheetViews>
    <sheetView workbookViewId="0">
      <selection sqref="A1:C1"/>
    </sheetView>
  </sheetViews>
  <sheetFormatPr defaultRowHeight="17.399999999999999"/>
  <sheetData>
    <row r="1" spans="1:3">
      <c r="A1" s="91" t="s">
        <v>138</v>
      </c>
      <c r="B1" s="91"/>
      <c r="C1" s="91"/>
    </row>
    <row r="2" spans="1:3">
      <c r="A2" s="7" t="s">
        <v>139</v>
      </c>
      <c r="B2" s="7" t="s">
        <v>140</v>
      </c>
      <c r="C2" s="7" t="s">
        <v>141</v>
      </c>
    </row>
    <row r="3" spans="1:3">
      <c r="A3" s="7" t="s">
        <v>142</v>
      </c>
      <c r="B3" s="8">
        <v>150</v>
      </c>
      <c r="C3" s="8">
        <v>32</v>
      </c>
    </row>
    <row r="4" spans="1:3">
      <c r="A4" s="7" t="s">
        <v>143</v>
      </c>
      <c r="B4" s="8">
        <v>200</v>
      </c>
      <c r="C4" s="8">
        <v>62</v>
      </c>
    </row>
    <row r="5" spans="1:3">
      <c r="A5" s="7" t="s">
        <v>144</v>
      </c>
      <c r="B5" s="8">
        <v>250</v>
      </c>
      <c r="C5" s="8">
        <v>34</v>
      </c>
    </row>
    <row r="6" spans="1:3">
      <c r="A6" s="7" t="s">
        <v>145</v>
      </c>
      <c r="B6" s="8">
        <v>300</v>
      </c>
      <c r="C6" s="8">
        <v>15</v>
      </c>
    </row>
    <row r="8" spans="1:3">
      <c r="A8" s="92" t="s">
        <v>146</v>
      </c>
      <c r="B8" s="92"/>
      <c r="C8" s="31"/>
    </row>
  </sheetData>
  <mergeCells count="2">
    <mergeCell ref="A1:C1"/>
    <mergeCell ref="A8:B8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3"/>
  <sheetViews>
    <sheetView workbookViewId="0">
      <selection sqref="A1:B1"/>
    </sheetView>
  </sheetViews>
  <sheetFormatPr defaultRowHeight="17.399999999999999"/>
  <cols>
    <col min="1" max="2" width="16.5" customWidth="1"/>
  </cols>
  <sheetData>
    <row r="1" spans="1:2">
      <c r="A1" s="91" t="s">
        <v>147</v>
      </c>
      <c r="B1" s="91"/>
    </row>
    <row r="2" spans="1:2">
      <c r="A2" s="7" t="s">
        <v>148</v>
      </c>
      <c r="B2" s="7" t="s">
        <v>149</v>
      </c>
    </row>
    <row r="3" spans="1:2">
      <c r="A3" s="32">
        <v>38050</v>
      </c>
      <c r="B3" s="33">
        <v>0.41452546296296294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4"/>
  <sheetViews>
    <sheetView workbookViewId="0">
      <selection sqref="A1:E1"/>
    </sheetView>
  </sheetViews>
  <sheetFormatPr defaultRowHeight="17.399999999999999"/>
  <cols>
    <col min="4" max="4" width="17.19921875" bestFit="1" customWidth="1"/>
  </cols>
  <sheetData>
    <row r="1" spans="1:5">
      <c r="A1" s="90" t="s">
        <v>150</v>
      </c>
      <c r="B1" s="90"/>
      <c r="C1" s="90"/>
      <c r="D1" s="90"/>
      <c r="E1" s="90"/>
    </row>
    <row r="2" spans="1:5">
      <c r="A2" s="7" t="s">
        <v>106</v>
      </c>
      <c r="B2" s="7" t="s">
        <v>151</v>
      </c>
      <c r="C2" s="7" t="s">
        <v>152</v>
      </c>
      <c r="D2" s="7" t="s">
        <v>153</v>
      </c>
      <c r="E2" s="13" t="s">
        <v>154</v>
      </c>
    </row>
    <row r="3" spans="1:5">
      <c r="A3" s="7" t="s">
        <v>155</v>
      </c>
      <c r="B3" s="7">
        <v>90</v>
      </c>
      <c r="C3" s="7">
        <v>77</v>
      </c>
      <c r="D3" s="7">
        <v>98</v>
      </c>
      <c r="E3" s="8"/>
    </row>
    <row r="4" spans="1:5">
      <c r="A4" s="7" t="s">
        <v>156</v>
      </c>
      <c r="B4" s="7">
        <v>67</v>
      </c>
      <c r="C4" s="7">
        <v>80</v>
      </c>
      <c r="D4" s="7">
        <v>77</v>
      </c>
      <c r="E4" s="8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12"/>
  <sheetViews>
    <sheetView workbookViewId="0">
      <selection sqref="A1:G1"/>
    </sheetView>
  </sheetViews>
  <sheetFormatPr defaultRowHeight="17.399999999999999"/>
  <cols>
    <col min="2" max="2" width="14.09765625" bestFit="1" customWidth="1"/>
  </cols>
  <sheetData>
    <row r="1" spans="1:7" ht="18" thickBot="1">
      <c r="A1" s="95" t="s">
        <v>561</v>
      </c>
      <c r="B1" s="95"/>
      <c r="C1" s="95"/>
      <c r="D1" s="95"/>
      <c r="E1" s="95"/>
      <c r="F1" s="95"/>
      <c r="G1" s="95"/>
    </row>
    <row r="2" spans="1:7" ht="18" thickBot="1">
      <c r="A2" s="3" t="s">
        <v>562</v>
      </c>
      <c r="B2" s="3" t="s">
        <v>572</v>
      </c>
      <c r="C2" s="3" t="s">
        <v>573</v>
      </c>
      <c r="D2" s="3" t="s">
        <v>590</v>
      </c>
      <c r="E2" s="3" t="s">
        <v>591</v>
      </c>
      <c r="F2" s="3" t="s">
        <v>592</v>
      </c>
      <c r="G2" s="3" t="s">
        <v>593</v>
      </c>
    </row>
    <row r="3" spans="1:7">
      <c r="A3" s="5" t="s">
        <v>594</v>
      </c>
      <c r="B3" s="5" t="s">
        <v>584</v>
      </c>
      <c r="C3" s="5" t="s">
        <v>574</v>
      </c>
      <c r="D3" s="6">
        <v>100</v>
      </c>
      <c r="E3" s="6">
        <v>78</v>
      </c>
      <c r="F3" s="6">
        <v>100</v>
      </c>
      <c r="G3" s="5"/>
    </row>
    <row r="4" spans="1:7">
      <c r="A4" s="7" t="s">
        <v>563</v>
      </c>
      <c r="B4" s="7" t="s">
        <v>598</v>
      </c>
      <c r="C4" s="7" t="s">
        <v>575</v>
      </c>
      <c r="D4" s="8">
        <v>87</v>
      </c>
      <c r="E4" s="8">
        <v>69</v>
      </c>
      <c r="F4" s="8">
        <v>98</v>
      </c>
      <c r="G4" s="5"/>
    </row>
    <row r="5" spans="1:7">
      <c r="A5" s="7" t="s">
        <v>564</v>
      </c>
      <c r="B5" s="7" t="s">
        <v>585</v>
      </c>
      <c r="C5" s="7" t="s">
        <v>576</v>
      </c>
      <c r="D5" s="8">
        <v>78</v>
      </c>
      <c r="E5" s="8">
        <v>59</v>
      </c>
      <c r="F5" s="8">
        <v>96</v>
      </c>
      <c r="G5" s="7"/>
    </row>
    <row r="6" spans="1:7">
      <c r="A6" s="7" t="s">
        <v>565</v>
      </c>
      <c r="B6" s="7" t="s">
        <v>586</v>
      </c>
      <c r="C6" s="7" t="s">
        <v>577</v>
      </c>
      <c r="D6" s="8">
        <v>95</v>
      </c>
      <c r="E6" s="8">
        <v>68</v>
      </c>
      <c r="F6" s="8">
        <v>94</v>
      </c>
      <c r="G6" s="7"/>
    </row>
    <row r="7" spans="1:7">
      <c r="A7" s="7" t="s">
        <v>566</v>
      </c>
      <c r="B7" s="7" t="s">
        <v>599</v>
      </c>
      <c r="C7" s="7" t="s">
        <v>578</v>
      </c>
      <c r="D7" s="8">
        <v>87</v>
      </c>
      <c r="E7" s="8">
        <v>65</v>
      </c>
      <c r="F7" s="8">
        <v>85</v>
      </c>
      <c r="G7" s="7"/>
    </row>
    <row r="8" spans="1:7">
      <c r="A8" s="7" t="s">
        <v>567</v>
      </c>
      <c r="B8" s="7" t="s">
        <v>600</v>
      </c>
      <c r="C8" s="7" t="s">
        <v>579</v>
      </c>
      <c r="D8" s="8">
        <v>95</v>
      </c>
      <c r="E8" s="8">
        <v>58</v>
      </c>
      <c r="F8" s="8">
        <v>71</v>
      </c>
      <c r="G8" s="7"/>
    </row>
    <row r="9" spans="1:7">
      <c r="A9" s="7" t="s">
        <v>568</v>
      </c>
      <c r="B9" s="7" t="s">
        <v>587</v>
      </c>
      <c r="C9" s="7" t="s">
        <v>580</v>
      </c>
      <c r="D9" s="8">
        <v>86</v>
      </c>
      <c r="E9" s="8">
        <v>88</v>
      </c>
      <c r="F9" s="8">
        <v>98</v>
      </c>
      <c r="G9" s="7"/>
    </row>
    <row r="10" spans="1:7">
      <c r="A10" s="7" t="s">
        <v>569</v>
      </c>
      <c r="B10" s="7" t="s">
        <v>595</v>
      </c>
      <c r="C10" s="7" t="s">
        <v>581</v>
      </c>
      <c r="D10" s="8">
        <v>75</v>
      </c>
      <c r="E10" s="8">
        <v>78</v>
      </c>
      <c r="F10" s="8">
        <v>88</v>
      </c>
      <c r="G10" s="7"/>
    </row>
    <row r="11" spans="1:7">
      <c r="A11" s="7" t="s">
        <v>570</v>
      </c>
      <c r="B11" s="7" t="s">
        <v>588</v>
      </c>
      <c r="C11" s="7" t="s">
        <v>582</v>
      </c>
      <c r="D11" s="8">
        <v>94</v>
      </c>
      <c r="E11" s="8">
        <v>56</v>
      </c>
      <c r="F11" s="8">
        <v>79</v>
      </c>
      <c r="G11" s="7"/>
    </row>
    <row r="12" spans="1:7">
      <c r="A12" s="7" t="s">
        <v>571</v>
      </c>
      <c r="B12" s="7" t="s">
        <v>589</v>
      </c>
      <c r="C12" s="7" t="s">
        <v>583</v>
      </c>
      <c r="D12" s="8">
        <v>83</v>
      </c>
      <c r="E12" s="8">
        <v>61</v>
      </c>
      <c r="F12" s="8">
        <v>60</v>
      </c>
      <c r="G12" s="7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16"/>
  <sheetViews>
    <sheetView workbookViewId="0"/>
  </sheetViews>
  <sheetFormatPr defaultRowHeight="17.399999999999999"/>
  <cols>
    <col min="4" max="4" width="11.09765625" bestFit="1" customWidth="1"/>
  </cols>
  <sheetData>
    <row r="1" spans="1:4">
      <c r="A1" s="34"/>
      <c r="B1" s="35">
        <v>10</v>
      </c>
      <c r="C1" s="35">
        <v>20</v>
      </c>
      <c r="D1" s="35">
        <v>30</v>
      </c>
    </row>
    <row r="2" spans="1:4">
      <c r="A2" s="35" t="s">
        <v>157</v>
      </c>
      <c r="B2" s="34" t="s">
        <v>158</v>
      </c>
      <c r="C2" s="34" t="s">
        <v>159</v>
      </c>
      <c r="D2" s="34" t="s">
        <v>160</v>
      </c>
    </row>
    <row r="3" spans="1:4">
      <c r="A3" s="35" t="s">
        <v>161</v>
      </c>
      <c r="B3" s="34" t="s">
        <v>162</v>
      </c>
      <c r="C3" s="34" t="s">
        <v>163</v>
      </c>
      <c r="D3" s="34" t="s">
        <v>164</v>
      </c>
    </row>
    <row r="4" spans="1:4">
      <c r="A4" s="35" t="s">
        <v>165</v>
      </c>
      <c r="B4" s="34" t="s">
        <v>166</v>
      </c>
      <c r="C4" s="34" t="s">
        <v>167</v>
      </c>
      <c r="D4" s="34" t="s">
        <v>168</v>
      </c>
    </row>
    <row r="5" spans="1:4">
      <c r="A5" s="35" t="s">
        <v>169</v>
      </c>
      <c r="B5" s="34" t="s">
        <v>170</v>
      </c>
      <c r="C5" s="34" t="s">
        <v>171</v>
      </c>
      <c r="D5" s="34" t="s">
        <v>172</v>
      </c>
    </row>
    <row r="6" spans="1:4">
      <c r="A6" s="36"/>
      <c r="B6" s="36"/>
      <c r="C6" s="36"/>
      <c r="D6" s="36"/>
    </row>
    <row r="7" spans="1:4">
      <c r="A7" s="96" t="s">
        <v>173</v>
      </c>
      <c r="B7" s="96"/>
      <c r="C7" s="36"/>
      <c r="D7" s="36"/>
    </row>
    <row r="8" spans="1:4">
      <c r="A8" s="34" t="s">
        <v>141</v>
      </c>
      <c r="B8" s="34" t="s">
        <v>174</v>
      </c>
      <c r="C8" s="36"/>
      <c r="D8" s="36"/>
    </row>
    <row r="9" spans="1:4">
      <c r="A9" s="37">
        <v>1</v>
      </c>
      <c r="B9" s="38">
        <v>0</v>
      </c>
      <c r="C9" s="36"/>
      <c r="D9" s="36"/>
    </row>
    <row r="10" spans="1:4">
      <c r="A10" s="37">
        <v>30</v>
      </c>
      <c r="B10" s="38">
        <v>0.03</v>
      </c>
      <c r="C10" s="36"/>
      <c r="D10" s="36"/>
    </row>
    <row r="11" spans="1:4">
      <c r="A11" s="37">
        <v>50</v>
      </c>
      <c r="B11" s="38">
        <v>0.05</v>
      </c>
      <c r="C11" s="36"/>
      <c r="D11" s="36"/>
    </row>
    <row r="12" spans="1:4">
      <c r="A12" s="37">
        <v>100</v>
      </c>
      <c r="B12" s="38">
        <v>0.1</v>
      </c>
      <c r="C12" s="36"/>
      <c r="D12" s="39"/>
    </row>
    <row r="16" spans="1:4">
      <c r="B16" s="40"/>
    </row>
  </sheetData>
  <mergeCells count="1">
    <mergeCell ref="A7:B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12"/>
  <sheetViews>
    <sheetView workbookViewId="0">
      <selection sqref="A1:E1"/>
    </sheetView>
  </sheetViews>
  <sheetFormatPr defaultRowHeight="17.399999999999999"/>
  <cols>
    <col min="1" max="1" width="9.8984375" customWidth="1"/>
  </cols>
  <sheetData>
    <row r="1" spans="1:8">
      <c r="A1" s="97" t="s">
        <v>175</v>
      </c>
      <c r="B1" s="97"/>
      <c r="C1" s="97"/>
      <c r="D1" s="97"/>
      <c r="E1" s="97"/>
      <c r="F1" s="41"/>
      <c r="G1" s="41"/>
      <c r="H1" s="41"/>
    </row>
    <row r="2" spans="1:8">
      <c r="A2" s="41"/>
      <c r="B2" s="41"/>
      <c r="C2" s="41"/>
      <c r="D2" s="41"/>
      <c r="E2" s="41"/>
      <c r="F2" s="41"/>
      <c r="G2" s="41"/>
      <c r="H2" s="41"/>
    </row>
    <row r="3" spans="1:8">
      <c r="A3" s="42" t="s">
        <v>106</v>
      </c>
      <c r="B3" s="42" t="s">
        <v>176</v>
      </c>
      <c r="C3" s="42" t="s">
        <v>177</v>
      </c>
      <c r="D3" s="43" t="s">
        <v>178</v>
      </c>
      <c r="E3" s="43" t="s">
        <v>179</v>
      </c>
      <c r="F3" s="41"/>
      <c r="G3" s="44" t="s">
        <v>176</v>
      </c>
      <c r="H3" s="44" t="s">
        <v>180</v>
      </c>
    </row>
    <row r="4" spans="1:8">
      <c r="A4" s="42" t="s">
        <v>181</v>
      </c>
      <c r="B4" s="42" t="s">
        <v>182</v>
      </c>
      <c r="C4" s="42">
        <v>9</v>
      </c>
      <c r="D4" s="42"/>
      <c r="E4" s="45"/>
      <c r="F4" s="41"/>
      <c r="G4" s="46" t="s">
        <v>182</v>
      </c>
      <c r="H4" s="46" t="s">
        <v>183</v>
      </c>
    </row>
    <row r="5" spans="1:8">
      <c r="A5" s="42" t="s">
        <v>184</v>
      </c>
      <c r="B5" s="42" t="s">
        <v>185</v>
      </c>
      <c r="C5" s="42">
        <v>8</v>
      </c>
      <c r="D5" s="42"/>
      <c r="E5" s="45"/>
      <c r="F5" s="41"/>
      <c r="G5" s="46" t="s">
        <v>186</v>
      </c>
      <c r="H5" s="46" t="s">
        <v>183</v>
      </c>
    </row>
    <row r="6" spans="1:8">
      <c r="A6" s="42" t="s">
        <v>187</v>
      </c>
      <c r="B6" s="42" t="s">
        <v>188</v>
      </c>
      <c r="C6" s="42">
        <v>6</v>
      </c>
      <c r="D6" s="42"/>
      <c r="E6" s="45"/>
      <c r="F6" s="41"/>
      <c r="G6" s="46" t="s">
        <v>188</v>
      </c>
      <c r="H6" s="46" t="s">
        <v>189</v>
      </c>
    </row>
    <row r="7" spans="1:8">
      <c r="A7" s="42" t="s">
        <v>190</v>
      </c>
      <c r="B7" s="42" t="s">
        <v>191</v>
      </c>
      <c r="C7" s="42">
        <v>4</v>
      </c>
      <c r="D7" s="42"/>
      <c r="E7" s="45"/>
      <c r="F7" s="41"/>
      <c r="G7" s="46" t="s">
        <v>192</v>
      </c>
      <c r="H7" s="46" t="s">
        <v>189</v>
      </c>
    </row>
    <row r="8" spans="1:8">
      <c r="A8" s="42" t="s">
        <v>193</v>
      </c>
      <c r="B8" s="42" t="s">
        <v>186</v>
      </c>
      <c r="C8" s="42">
        <v>5</v>
      </c>
      <c r="D8" s="42"/>
      <c r="E8" s="45"/>
      <c r="F8" s="41"/>
      <c r="G8" s="46" t="s">
        <v>191</v>
      </c>
      <c r="H8" s="46" t="s">
        <v>194</v>
      </c>
    </row>
    <row r="9" spans="1:8">
      <c r="A9" s="42" t="s">
        <v>195</v>
      </c>
      <c r="B9" s="42" t="s">
        <v>192</v>
      </c>
      <c r="C9" s="42">
        <v>6</v>
      </c>
      <c r="D9" s="42"/>
      <c r="E9" s="45"/>
      <c r="F9" s="41"/>
      <c r="G9" s="46" t="s">
        <v>185</v>
      </c>
      <c r="H9" s="46" t="s">
        <v>194</v>
      </c>
    </row>
    <row r="10" spans="1:8">
      <c r="A10" s="41"/>
      <c r="B10" s="41"/>
      <c r="C10" s="41"/>
      <c r="D10" s="41"/>
      <c r="E10" s="41"/>
      <c r="F10" s="41"/>
      <c r="G10" s="41"/>
      <c r="H10" s="41"/>
    </row>
    <row r="11" spans="1:8">
      <c r="A11" s="44" t="s">
        <v>177</v>
      </c>
      <c r="B11" s="42">
        <v>0</v>
      </c>
      <c r="C11" s="42">
        <v>5</v>
      </c>
      <c r="D11" s="42">
        <v>9</v>
      </c>
      <c r="E11" s="41"/>
      <c r="F11" s="41"/>
      <c r="G11" s="41"/>
      <c r="H11" s="41"/>
    </row>
    <row r="12" spans="1:8">
      <c r="A12" s="44" t="s">
        <v>178</v>
      </c>
      <c r="B12" s="42" t="s">
        <v>196</v>
      </c>
      <c r="C12" s="42" t="s">
        <v>197</v>
      </c>
      <c r="D12" s="42" t="s">
        <v>198</v>
      </c>
      <c r="E12" s="41"/>
      <c r="F12" s="41"/>
      <c r="G12" s="41"/>
      <c r="H12" s="41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17"/>
  <sheetViews>
    <sheetView workbookViewId="0"/>
  </sheetViews>
  <sheetFormatPr defaultRowHeight="17.399999999999999"/>
  <cols>
    <col min="5" max="5" width="9.69921875" customWidth="1"/>
  </cols>
  <sheetData>
    <row r="1" spans="1:6">
      <c r="A1" s="36" t="s">
        <v>199</v>
      </c>
      <c r="B1" s="36"/>
      <c r="C1" s="36"/>
      <c r="D1" s="36"/>
      <c r="E1" s="36" t="s">
        <v>200</v>
      </c>
      <c r="F1" s="36"/>
    </row>
    <row r="2" spans="1:6">
      <c r="A2" s="35" t="s">
        <v>201</v>
      </c>
      <c r="B2" s="35" t="s">
        <v>202</v>
      </c>
      <c r="C2" s="35" t="s">
        <v>140</v>
      </c>
      <c r="D2" s="47"/>
      <c r="E2" s="48" t="s">
        <v>203</v>
      </c>
      <c r="F2" s="48" t="s">
        <v>204</v>
      </c>
    </row>
    <row r="3" spans="1:6">
      <c r="A3" s="34">
        <v>1</v>
      </c>
      <c r="B3" s="34" t="s">
        <v>205</v>
      </c>
      <c r="C3" s="49">
        <v>16000</v>
      </c>
      <c r="D3" s="36"/>
      <c r="E3" s="50">
        <v>199999</v>
      </c>
      <c r="F3" s="51" t="s">
        <v>206</v>
      </c>
    </row>
    <row r="4" spans="1:6">
      <c r="A4" s="34">
        <v>2</v>
      </c>
      <c r="B4" s="34" t="s">
        <v>207</v>
      </c>
      <c r="C4" s="49">
        <v>48000</v>
      </c>
      <c r="D4" s="36"/>
      <c r="E4" s="50">
        <v>399999</v>
      </c>
      <c r="F4" s="51" t="s">
        <v>208</v>
      </c>
    </row>
    <row r="5" spans="1:6">
      <c r="A5" s="34">
        <v>3</v>
      </c>
      <c r="B5" s="34" t="s">
        <v>209</v>
      </c>
      <c r="C5" s="49">
        <v>45000</v>
      </c>
      <c r="D5" s="36"/>
      <c r="E5" s="50">
        <v>599999</v>
      </c>
      <c r="F5" s="51" t="s">
        <v>210</v>
      </c>
    </row>
    <row r="6" spans="1:6">
      <c r="A6" s="34">
        <v>4</v>
      </c>
      <c r="B6" s="34" t="s">
        <v>211</v>
      </c>
      <c r="C6" s="49">
        <v>12300</v>
      </c>
      <c r="D6" s="36"/>
      <c r="E6" s="50">
        <v>799999</v>
      </c>
      <c r="F6" s="51" t="s">
        <v>212</v>
      </c>
    </row>
    <row r="7" spans="1:6">
      <c r="A7" s="34">
        <v>5</v>
      </c>
      <c r="B7" s="34" t="s">
        <v>213</v>
      </c>
      <c r="C7" s="49">
        <v>8000</v>
      </c>
      <c r="D7" s="36"/>
      <c r="E7" s="50">
        <v>999999</v>
      </c>
      <c r="F7" s="51" t="s">
        <v>214</v>
      </c>
    </row>
    <row r="8" spans="1:6">
      <c r="A8" s="36" t="s">
        <v>215</v>
      </c>
      <c r="B8" s="36"/>
      <c r="C8" s="36"/>
      <c r="D8" s="36"/>
      <c r="E8" s="36"/>
      <c r="F8" s="36"/>
    </row>
    <row r="9" spans="1:6">
      <c r="A9" s="35" t="s">
        <v>216</v>
      </c>
      <c r="B9" s="52" t="s">
        <v>217</v>
      </c>
      <c r="C9" s="35" t="s">
        <v>218</v>
      </c>
      <c r="D9" s="53" t="s">
        <v>219</v>
      </c>
      <c r="E9" s="48" t="s">
        <v>220</v>
      </c>
      <c r="F9" s="52" t="s">
        <v>221</v>
      </c>
    </row>
    <row r="10" spans="1:6">
      <c r="A10" s="34">
        <v>3</v>
      </c>
      <c r="B10" s="34"/>
      <c r="C10" s="37">
        <v>18</v>
      </c>
      <c r="D10" s="50"/>
      <c r="E10" s="50">
        <v>810000</v>
      </c>
      <c r="F10" s="34"/>
    </row>
    <row r="11" spans="1:6">
      <c r="A11" s="34">
        <v>4</v>
      </c>
      <c r="B11" s="34"/>
      <c r="C11" s="37">
        <v>30</v>
      </c>
      <c r="D11" s="50"/>
      <c r="E11" s="50">
        <v>369000</v>
      </c>
      <c r="F11" s="34"/>
    </row>
    <row r="12" spans="1:6">
      <c r="A12" s="34">
        <v>5</v>
      </c>
      <c r="B12" s="34"/>
      <c r="C12" s="37">
        <v>60</v>
      </c>
      <c r="D12" s="50"/>
      <c r="E12" s="50">
        <v>480000</v>
      </c>
      <c r="F12" s="34"/>
    </row>
    <row r="13" spans="1:6">
      <c r="A13" s="34">
        <v>2</v>
      </c>
      <c r="B13" s="34"/>
      <c r="C13" s="37">
        <v>21</v>
      </c>
      <c r="D13" s="50"/>
      <c r="E13" s="50">
        <v>1008000</v>
      </c>
      <c r="F13" s="34"/>
    </row>
    <row r="14" spans="1:6">
      <c r="A14" s="34">
        <v>5</v>
      </c>
      <c r="B14" s="34"/>
      <c r="C14" s="37">
        <v>50</v>
      </c>
      <c r="D14" s="50"/>
      <c r="E14" s="50">
        <v>400000</v>
      </c>
      <c r="F14" s="34"/>
    </row>
    <row r="15" spans="1:6">
      <c r="A15" s="34">
        <v>4</v>
      </c>
      <c r="B15" s="34"/>
      <c r="C15" s="37">
        <v>24</v>
      </c>
      <c r="D15" s="50"/>
      <c r="E15" s="50">
        <v>295200</v>
      </c>
      <c r="F15" s="34"/>
    </row>
    <row r="16" spans="1:6">
      <c r="A16" s="34">
        <v>3</v>
      </c>
      <c r="B16" s="34"/>
      <c r="C16" s="37">
        <v>6</v>
      </c>
      <c r="D16" s="50"/>
      <c r="E16" s="50">
        <v>270000</v>
      </c>
      <c r="F16" s="34"/>
    </row>
    <row r="17" spans="1:6">
      <c r="A17" s="34">
        <v>2</v>
      </c>
      <c r="B17" s="34"/>
      <c r="C17" s="37">
        <v>15</v>
      </c>
      <c r="D17" s="50"/>
      <c r="E17" s="50">
        <v>720000</v>
      </c>
      <c r="F17" s="34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5"/>
  <sheetViews>
    <sheetView workbookViewId="0">
      <selection sqref="A1:D1"/>
    </sheetView>
  </sheetViews>
  <sheetFormatPr defaultRowHeight="17.399999999999999"/>
  <cols>
    <col min="1" max="4" width="13.3984375" customWidth="1"/>
    <col min="5" max="5" width="4.69921875" customWidth="1"/>
  </cols>
  <sheetData>
    <row r="1" spans="1:6" ht="18" thickBot="1">
      <c r="A1" s="93" t="s">
        <v>222</v>
      </c>
      <c r="B1" s="93"/>
      <c r="C1" s="93"/>
      <c r="D1" s="93"/>
      <c r="E1" s="41"/>
      <c r="F1" s="41"/>
    </row>
    <row r="2" spans="1:6" ht="18" thickBot="1">
      <c r="A2" s="54" t="s">
        <v>223</v>
      </c>
      <c r="B2" s="55" t="s">
        <v>224</v>
      </c>
      <c r="C2" s="55" t="s">
        <v>225</v>
      </c>
      <c r="D2" s="56" t="s">
        <v>226</v>
      </c>
      <c r="E2" s="41"/>
      <c r="F2" s="57" t="s">
        <v>224</v>
      </c>
    </row>
    <row r="3" spans="1:6" ht="18" thickBot="1">
      <c r="A3" s="58" t="s">
        <v>227</v>
      </c>
      <c r="B3" s="59">
        <v>246</v>
      </c>
      <c r="C3" s="59">
        <v>258</v>
      </c>
      <c r="D3" s="60">
        <v>152</v>
      </c>
      <c r="E3" s="41"/>
      <c r="F3" s="61" t="s">
        <v>228</v>
      </c>
    </row>
    <row r="4" spans="1:6">
      <c r="A4" s="62" t="s">
        <v>229</v>
      </c>
      <c r="B4" s="46">
        <v>144</v>
      </c>
      <c r="C4" s="46">
        <v>213</v>
      </c>
      <c r="D4" s="63">
        <v>57</v>
      </c>
      <c r="E4" s="41"/>
      <c r="F4" s="57" t="s">
        <v>225</v>
      </c>
    </row>
    <row r="5" spans="1:6" ht="18" thickBot="1">
      <c r="A5" s="62" t="s">
        <v>230</v>
      </c>
      <c r="B5" s="46">
        <v>92</v>
      </c>
      <c r="C5" s="46">
        <v>274</v>
      </c>
      <c r="D5" s="63">
        <v>269</v>
      </c>
      <c r="E5" s="41"/>
      <c r="F5" s="61" t="s">
        <v>231</v>
      </c>
    </row>
    <row r="6" spans="1:6">
      <c r="A6" s="62" t="s">
        <v>232</v>
      </c>
      <c r="B6" s="46">
        <v>112</v>
      </c>
      <c r="C6" s="46">
        <v>88</v>
      </c>
      <c r="D6" s="63">
        <v>105</v>
      </c>
      <c r="E6" s="41"/>
      <c r="F6" s="57" t="s">
        <v>226</v>
      </c>
    </row>
    <row r="7" spans="1:6" ht="18" thickBot="1">
      <c r="A7" s="64" t="s">
        <v>233</v>
      </c>
      <c r="B7" s="65">
        <v>244</v>
      </c>
      <c r="C7" s="65">
        <v>140</v>
      </c>
      <c r="D7" s="66">
        <v>297</v>
      </c>
      <c r="E7" s="41"/>
      <c r="F7" s="61" t="s">
        <v>234</v>
      </c>
    </row>
    <row r="8" spans="1:6">
      <c r="A8" s="100" t="s">
        <v>235</v>
      </c>
      <c r="B8" s="100"/>
      <c r="C8" s="100"/>
      <c r="D8" s="59"/>
      <c r="E8" s="41"/>
      <c r="F8" s="67" t="s">
        <v>223</v>
      </c>
    </row>
    <row r="9" spans="1:6" ht="18" thickBot="1">
      <c r="A9" s="98" t="s">
        <v>236</v>
      </c>
      <c r="B9" s="98"/>
      <c r="C9" s="98"/>
      <c r="D9" s="46"/>
      <c r="E9" s="41"/>
      <c r="F9" s="61" t="s">
        <v>229</v>
      </c>
    </row>
    <row r="10" spans="1:6">
      <c r="A10" s="98" t="s">
        <v>237</v>
      </c>
      <c r="B10" s="98"/>
      <c r="C10" s="98"/>
      <c r="D10" s="46"/>
      <c r="E10" s="41"/>
      <c r="F10" s="41"/>
    </row>
    <row r="11" spans="1:6">
      <c r="A11" s="98" t="s">
        <v>238</v>
      </c>
      <c r="B11" s="98"/>
      <c r="C11" s="98"/>
      <c r="D11" s="46"/>
      <c r="E11" s="41"/>
      <c r="F11" s="41"/>
    </row>
    <row r="12" spans="1:6">
      <c r="A12" s="98" t="s">
        <v>239</v>
      </c>
      <c r="B12" s="98"/>
      <c r="C12" s="98"/>
      <c r="D12" s="46"/>
      <c r="E12" s="41"/>
      <c r="F12" s="41"/>
    </row>
    <row r="13" spans="1:6">
      <c r="A13" s="98" t="s">
        <v>240</v>
      </c>
      <c r="B13" s="98"/>
      <c r="C13" s="98"/>
      <c r="D13" s="46"/>
      <c r="E13" s="41"/>
      <c r="F13" s="41"/>
    </row>
    <row r="14" spans="1:6">
      <c r="A14" s="98" t="s">
        <v>241</v>
      </c>
      <c r="B14" s="98"/>
      <c r="C14" s="98"/>
      <c r="D14" s="46"/>
      <c r="E14" s="41"/>
      <c r="F14" s="41"/>
    </row>
    <row r="15" spans="1:6">
      <c r="A15" s="99" t="s">
        <v>242</v>
      </c>
      <c r="B15" s="98"/>
      <c r="C15" s="98"/>
      <c r="D15" s="46"/>
      <c r="E15" s="41"/>
      <c r="F15" s="41"/>
    </row>
  </sheetData>
  <mergeCells count="9">
    <mergeCell ref="A13:C13"/>
    <mergeCell ref="A14:C14"/>
    <mergeCell ref="A15:C15"/>
    <mergeCell ref="A1:D1"/>
    <mergeCell ref="A8:C8"/>
    <mergeCell ref="A9:C9"/>
    <mergeCell ref="A10:C10"/>
    <mergeCell ref="A11:C11"/>
    <mergeCell ref="A12:C12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B5"/>
  <sheetViews>
    <sheetView workbookViewId="0"/>
  </sheetViews>
  <sheetFormatPr defaultRowHeight="17.399999999999999"/>
  <cols>
    <col min="1" max="2" width="10.5" customWidth="1"/>
  </cols>
  <sheetData>
    <row r="1" spans="1:2">
      <c r="A1" t="s">
        <v>243</v>
      </c>
    </row>
    <row r="2" spans="1:2">
      <c r="A2" t="s">
        <v>244</v>
      </c>
      <c r="B2">
        <v>5</v>
      </c>
    </row>
    <row r="3" spans="1:2">
      <c r="A3" t="e">
        <v>#REF!</v>
      </c>
      <c r="B3">
        <v>8</v>
      </c>
    </row>
    <row r="4" spans="1:2">
      <c r="A4" s="68">
        <v>33000</v>
      </c>
      <c r="B4">
        <v>58</v>
      </c>
    </row>
    <row r="5" spans="1:2">
      <c r="A5" t="e">
        <v>#N/A</v>
      </c>
      <c r="B5" t="b">
        <v>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6"/>
  <sheetViews>
    <sheetView workbookViewId="0"/>
  </sheetViews>
  <sheetFormatPr defaultRowHeight="17.399999999999999"/>
  <sheetData>
    <row r="1" spans="1:6">
      <c r="A1" s="7" t="s">
        <v>245</v>
      </c>
      <c r="B1" s="7" t="s">
        <v>246</v>
      </c>
      <c r="C1" s="7" t="s">
        <v>247</v>
      </c>
      <c r="D1" s="7" t="s">
        <v>248</v>
      </c>
      <c r="E1" s="7" t="s">
        <v>249</v>
      </c>
      <c r="F1" s="13" t="s">
        <v>250</v>
      </c>
    </row>
    <row r="2" spans="1:6">
      <c r="A2" s="7">
        <v>1</v>
      </c>
      <c r="B2" s="7" t="s">
        <v>251</v>
      </c>
      <c r="C2" s="7" t="s">
        <v>252</v>
      </c>
      <c r="D2" s="8">
        <v>98</v>
      </c>
      <c r="E2" s="8">
        <v>85</v>
      </c>
      <c r="F2" s="8"/>
    </row>
    <row r="3" spans="1:6">
      <c r="A3" s="7">
        <v>2</v>
      </c>
      <c r="B3" s="7" t="s">
        <v>253</v>
      </c>
      <c r="C3" s="7" t="s">
        <v>254</v>
      </c>
      <c r="D3" s="8">
        <v>95</v>
      </c>
      <c r="E3" s="8">
        <v>100</v>
      </c>
      <c r="F3" s="8"/>
    </row>
    <row r="4" spans="1:6">
      <c r="A4" s="7">
        <v>3</v>
      </c>
      <c r="B4" s="7" t="s">
        <v>255</v>
      </c>
      <c r="C4" s="7" t="s">
        <v>254</v>
      </c>
      <c r="D4" s="8">
        <v>80</v>
      </c>
      <c r="E4" s="8">
        <v>75</v>
      </c>
      <c r="F4" s="8"/>
    </row>
    <row r="5" spans="1:6">
      <c r="A5" s="7">
        <v>4</v>
      </c>
      <c r="B5" s="7" t="s">
        <v>256</v>
      </c>
      <c r="C5" s="7" t="s">
        <v>257</v>
      </c>
      <c r="D5" s="8">
        <v>85</v>
      </c>
      <c r="E5" s="8">
        <v>90</v>
      </c>
      <c r="F5" s="8"/>
    </row>
    <row r="6" spans="1:6">
      <c r="A6" s="7">
        <v>5</v>
      </c>
      <c r="B6" s="7" t="s">
        <v>258</v>
      </c>
      <c r="C6" s="7" t="s">
        <v>254</v>
      </c>
      <c r="D6" s="8">
        <v>100</v>
      </c>
      <c r="E6" s="8">
        <v>100</v>
      </c>
      <c r="F6" s="8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9"/>
  <sheetViews>
    <sheetView workbookViewId="0"/>
  </sheetViews>
  <sheetFormatPr defaultRowHeight="17.399999999999999"/>
  <cols>
    <col min="5" max="5" width="10.8984375" bestFit="1" customWidth="1"/>
    <col min="6" max="6" width="4.59765625" customWidth="1"/>
    <col min="9" max="10" width="13" bestFit="1" customWidth="1"/>
  </cols>
  <sheetData>
    <row r="1" spans="1:10" ht="18" thickBot="1">
      <c r="A1" s="69" t="s">
        <v>259</v>
      </c>
      <c r="B1" s="3" t="s">
        <v>260</v>
      </c>
      <c r="C1" s="3" t="s">
        <v>261</v>
      </c>
      <c r="D1" s="3" t="s">
        <v>262</v>
      </c>
      <c r="E1" s="70" t="s">
        <v>263</v>
      </c>
    </row>
    <row r="2" spans="1:10">
      <c r="A2" s="5" t="s">
        <v>264</v>
      </c>
      <c r="B2" s="5" t="s">
        <v>265</v>
      </c>
      <c r="C2" s="5" t="s">
        <v>266</v>
      </c>
      <c r="D2" s="5" t="s">
        <v>267</v>
      </c>
      <c r="E2" s="71">
        <v>850000</v>
      </c>
      <c r="G2" s="7" t="s">
        <v>268</v>
      </c>
      <c r="H2" s="13" t="s">
        <v>269</v>
      </c>
      <c r="I2" s="13" t="s">
        <v>270</v>
      </c>
      <c r="J2" s="13" t="s">
        <v>271</v>
      </c>
    </row>
    <row r="3" spans="1:10">
      <c r="A3" s="7" t="s">
        <v>272</v>
      </c>
      <c r="B3" s="7" t="s">
        <v>273</v>
      </c>
      <c r="C3" s="7" t="s">
        <v>274</v>
      </c>
      <c r="D3" s="7" t="s">
        <v>275</v>
      </c>
      <c r="E3" s="72">
        <v>950000</v>
      </c>
      <c r="G3" s="7" t="s">
        <v>276</v>
      </c>
      <c r="H3" s="8"/>
      <c r="I3" s="31"/>
      <c r="J3" s="31"/>
    </row>
    <row r="4" spans="1:10">
      <c r="A4" s="7" t="s">
        <v>277</v>
      </c>
      <c r="B4" s="7" t="s">
        <v>278</v>
      </c>
      <c r="C4" s="7" t="s">
        <v>274</v>
      </c>
      <c r="D4" s="7" t="s">
        <v>279</v>
      </c>
      <c r="E4" s="72">
        <v>1000000</v>
      </c>
      <c r="G4" s="7" t="s">
        <v>280</v>
      </c>
      <c r="H4" s="8"/>
      <c r="I4" s="31"/>
      <c r="J4" s="31"/>
    </row>
    <row r="5" spans="1:10">
      <c r="A5" s="7" t="s">
        <v>281</v>
      </c>
      <c r="B5" s="7" t="s">
        <v>265</v>
      </c>
      <c r="C5" s="7" t="s">
        <v>282</v>
      </c>
      <c r="D5" s="7" t="s">
        <v>283</v>
      </c>
      <c r="E5" s="72">
        <v>1200000</v>
      </c>
      <c r="G5" s="7" t="s">
        <v>278</v>
      </c>
      <c r="H5" s="8"/>
      <c r="I5" s="31"/>
      <c r="J5" s="31"/>
    </row>
    <row r="6" spans="1:10">
      <c r="A6" s="7" t="s">
        <v>284</v>
      </c>
      <c r="B6" s="7" t="s">
        <v>280</v>
      </c>
      <c r="C6" s="7" t="s">
        <v>282</v>
      </c>
      <c r="D6" s="7" t="s">
        <v>279</v>
      </c>
      <c r="E6" s="72">
        <v>950000</v>
      </c>
    </row>
    <row r="7" spans="1:10">
      <c r="A7" s="7" t="s">
        <v>285</v>
      </c>
      <c r="B7" s="7" t="s">
        <v>278</v>
      </c>
      <c r="C7" s="7" t="s">
        <v>282</v>
      </c>
      <c r="D7" s="7" t="s">
        <v>279</v>
      </c>
      <c r="E7" s="72">
        <v>850000</v>
      </c>
    </row>
    <row r="8" spans="1:10">
      <c r="A8" s="7" t="s">
        <v>286</v>
      </c>
      <c r="B8" s="7" t="s">
        <v>276</v>
      </c>
      <c r="C8" s="7" t="s">
        <v>287</v>
      </c>
      <c r="D8" s="7" t="s">
        <v>288</v>
      </c>
      <c r="E8" s="72">
        <v>1000000</v>
      </c>
    </row>
    <row r="9" spans="1:10">
      <c r="A9" s="7" t="s">
        <v>289</v>
      </c>
      <c r="B9" s="7" t="s">
        <v>276</v>
      </c>
      <c r="C9" s="7" t="s">
        <v>282</v>
      </c>
      <c r="D9" s="7" t="s">
        <v>279</v>
      </c>
      <c r="E9" s="72">
        <v>950000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D7"/>
  <sheetViews>
    <sheetView workbookViewId="0">
      <selection sqref="A1:C1"/>
    </sheetView>
  </sheetViews>
  <sheetFormatPr defaultRowHeight="17.399999999999999"/>
  <cols>
    <col min="1" max="1" width="9.19921875" customWidth="1"/>
    <col min="2" max="2" width="9.3984375" customWidth="1"/>
    <col min="3" max="3" width="9.69921875" customWidth="1"/>
    <col min="4" max="4" width="9.59765625" customWidth="1"/>
  </cols>
  <sheetData>
    <row r="1" spans="1:4">
      <c r="A1" s="91" t="s">
        <v>290</v>
      </c>
      <c r="B1" s="91"/>
      <c r="C1" s="91"/>
      <c r="D1" t="s">
        <v>291</v>
      </c>
    </row>
    <row r="2" spans="1:4">
      <c r="A2" s="73" t="s">
        <v>292</v>
      </c>
      <c r="B2" s="73" t="s">
        <v>293</v>
      </c>
      <c r="C2" s="73" t="s">
        <v>294</v>
      </c>
      <c r="D2" s="73" t="s">
        <v>295</v>
      </c>
    </row>
    <row r="3" spans="1:4">
      <c r="A3" s="7" t="s">
        <v>296</v>
      </c>
      <c r="B3" s="74">
        <v>1100</v>
      </c>
      <c r="C3" s="74">
        <v>643</v>
      </c>
      <c r="D3" s="74">
        <v>1243</v>
      </c>
    </row>
    <row r="4" spans="1:4">
      <c r="A4" s="7" t="s">
        <v>297</v>
      </c>
      <c r="B4" s="74">
        <v>900</v>
      </c>
      <c r="C4" s="74">
        <v>517</v>
      </c>
      <c r="D4" s="74">
        <v>1017</v>
      </c>
    </row>
    <row r="5" spans="1:4">
      <c r="A5" s="7" t="s">
        <v>298</v>
      </c>
      <c r="B5" s="74">
        <v>750</v>
      </c>
      <c r="C5" s="74">
        <v>497</v>
      </c>
      <c r="D5" s="74">
        <v>847</v>
      </c>
    </row>
    <row r="6" spans="1:4">
      <c r="A6" s="7" t="s">
        <v>299</v>
      </c>
      <c r="B6" s="74">
        <v>900</v>
      </c>
      <c r="C6" s="74">
        <v>517</v>
      </c>
      <c r="D6" s="74">
        <v>1017</v>
      </c>
    </row>
    <row r="7" spans="1:4">
      <c r="A7" s="7" t="s">
        <v>300</v>
      </c>
      <c r="B7" s="74">
        <v>750</v>
      </c>
      <c r="C7" s="74">
        <v>397</v>
      </c>
      <c r="D7" s="74">
        <v>847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7"/>
  <sheetViews>
    <sheetView workbookViewId="0">
      <selection sqref="A1:C1"/>
    </sheetView>
  </sheetViews>
  <sheetFormatPr defaultRowHeight="17.399999999999999"/>
  <sheetData>
    <row r="1" spans="1:5">
      <c r="A1" s="101" t="s">
        <v>301</v>
      </c>
      <c r="B1" s="101"/>
      <c r="C1" s="101"/>
      <c r="D1" s="41" t="s">
        <v>302</v>
      </c>
      <c r="E1" s="41"/>
    </row>
    <row r="2" spans="1:5">
      <c r="A2" s="75" t="s">
        <v>303</v>
      </c>
      <c r="B2" s="75" t="s">
        <v>263</v>
      </c>
      <c r="C2" s="75" t="s">
        <v>304</v>
      </c>
      <c r="D2" s="75" t="s">
        <v>305</v>
      </c>
      <c r="E2" s="75" t="s">
        <v>306</v>
      </c>
    </row>
    <row r="3" spans="1:5">
      <c r="A3" s="76" t="s">
        <v>307</v>
      </c>
      <c r="B3" s="82">
        <v>1100</v>
      </c>
      <c r="C3" s="82">
        <v>643</v>
      </c>
      <c r="D3" s="82">
        <v>1243</v>
      </c>
      <c r="E3" s="77">
        <v>520</v>
      </c>
    </row>
    <row r="4" spans="1:5">
      <c r="A4" s="76" t="s">
        <v>308</v>
      </c>
      <c r="B4" s="82">
        <v>900</v>
      </c>
      <c r="C4" s="82">
        <v>517</v>
      </c>
      <c r="D4" s="82">
        <v>1017</v>
      </c>
      <c r="E4" s="77">
        <v>342</v>
      </c>
    </row>
    <row r="5" spans="1:5">
      <c r="A5" s="76" t="s">
        <v>309</v>
      </c>
      <c r="B5" s="82">
        <v>750</v>
      </c>
      <c r="C5" s="82">
        <v>497</v>
      </c>
      <c r="D5" s="82">
        <v>847</v>
      </c>
      <c r="E5" s="77">
        <v>258</v>
      </c>
    </row>
    <row r="6" spans="1:5">
      <c r="A6" s="76" t="s">
        <v>310</v>
      </c>
      <c r="B6" s="82">
        <v>900</v>
      </c>
      <c r="C6" s="82">
        <v>517</v>
      </c>
      <c r="D6" s="82">
        <v>1017</v>
      </c>
      <c r="E6" s="77">
        <v>368</v>
      </c>
    </row>
    <row r="7" spans="1:5">
      <c r="A7" s="76" t="s">
        <v>311</v>
      </c>
      <c r="B7" s="82">
        <v>750</v>
      </c>
      <c r="C7" s="82">
        <v>397</v>
      </c>
      <c r="D7" s="82">
        <v>847</v>
      </c>
      <c r="E7" s="77">
        <v>288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D7"/>
  <sheetViews>
    <sheetView workbookViewId="0">
      <selection sqref="A1:C1"/>
    </sheetView>
  </sheetViews>
  <sheetFormatPr defaultRowHeight="17.399999999999999"/>
  <sheetData>
    <row r="1" spans="1:4">
      <c r="A1" s="101" t="s">
        <v>312</v>
      </c>
      <c r="B1" s="101"/>
      <c r="C1" s="101"/>
      <c r="D1" s="41" t="s">
        <v>313</v>
      </c>
    </row>
    <row r="2" spans="1:4">
      <c r="A2" s="75" t="s">
        <v>314</v>
      </c>
      <c r="B2" s="75" t="s">
        <v>315</v>
      </c>
      <c r="C2" s="75" t="s">
        <v>316</v>
      </c>
      <c r="D2" s="75" t="s">
        <v>317</v>
      </c>
    </row>
    <row r="3" spans="1:4">
      <c r="A3" s="76" t="s">
        <v>318</v>
      </c>
      <c r="B3" s="83">
        <v>1100</v>
      </c>
      <c r="C3" s="83">
        <v>643</v>
      </c>
      <c r="D3" s="83">
        <v>1243</v>
      </c>
    </row>
    <row r="4" spans="1:4">
      <c r="A4" s="76" t="s">
        <v>319</v>
      </c>
      <c r="B4" s="83">
        <v>900</v>
      </c>
      <c r="C4" s="83">
        <v>517</v>
      </c>
      <c r="D4" s="83">
        <v>1017</v>
      </c>
    </row>
    <row r="5" spans="1:4">
      <c r="A5" s="76" t="s">
        <v>320</v>
      </c>
      <c r="B5" s="83">
        <v>750</v>
      </c>
      <c r="C5" s="83">
        <v>497</v>
      </c>
      <c r="D5" s="83">
        <v>847</v>
      </c>
    </row>
    <row r="6" spans="1:4">
      <c r="A6" s="76" t="s">
        <v>321</v>
      </c>
      <c r="B6" s="83">
        <v>900</v>
      </c>
      <c r="C6" s="83">
        <v>517</v>
      </c>
      <c r="D6" s="83">
        <v>1017</v>
      </c>
    </row>
    <row r="7" spans="1:4">
      <c r="A7" s="76" t="s">
        <v>322</v>
      </c>
      <c r="B7" s="83">
        <v>750</v>
      </c>
      <c r="C7" s="83">
        <v>397</v>
      </c>
      <c r="D7" s="83">
        <v>847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D7"/>
  <sheetViews>
    <sheetView workbookViewId="0">
      <selection sqref="A1:D1"/>
    </sheetView>
  </sheetViews>
  <sheetFormatPr defaultRowHeight="17.399999999999999"/>
  <sheetData>
    <row r="1" spans="1:4">
      <c r="A1" s="91" t="s">
        <v>323</v>
      </c>
      <c r="B1" s="91"/>
      <c r="C1" s="91"/>
      <c r="D1" s="91"/>
    </row>
    <row r="2" spans="1:4">
      <c r="A2" s="73" t="s">
        <v>324</v>
      </c>
      <c r="B2" s="73" t="s">
        <v>325</v>
      </c>
      <c r="C2" s="73" t="s">
        <v>326</v>
      </c>
      <c r="D2" s="73" t="s">
        <v>327</v>
      </c>
    </row>
    <row r="3" spans="1:4">
      <c r="A3" s="7" t="s">
        <v>328</v>
      </c>
      <c r="B3" s="8">
        <v>85</v>
      </c>
      <c r="C3" s="8">
        <v>95</v>
      </c>
      <c r="D3" s="8">
        <v>9</v>
      </c>
    </row>
    <row r="4" spans="1:4">
      <c r="A4" s="7" t="s">
        <v>329</v>
      </c>
      <c r="B4" s="8">
        <v>90</v>
      </c>
      <c r="C4" s="8">
        <v>82</v>
      </c>
      <c r="D4" s="8">
        <v>8</v>
      </c>
    </row>
    <row r="5" spans="1:4">
      <c r="A5" s="7" t="s">
        <v>330</v>
      </c>
      <c r="B5" s="8">
        <v>88</v>
      </c>
      <c r="C5" s="8">
        <v>88</v>
      </c>
      <c r="D5" s="8">
        <v>10</v>
      </c>
    </row>
    <row r="6" spans="1:4">
      <c r="A6" s="7" t="s">
        <v>331</v>
      </c>
      <c r="B6" s="8">
        <v>97</v>
      </c>
      <c r="C6" s="8">
        <v>94</v>
      </c>
      <c r="D6" s="8">
        <v>7</v>
      </c>
    </row>
    <row r="7" spans="1:4">
      <c r="A7" s="7" t="s">
        <v>332</v>
      </c>
      <c r="B7" s="8">
        <v>86</v>
      </c>
      <c r="C7" s="8">
        <v>86</v>
      </c>
      <c r="D7" s="8">
        <v>6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B2:H6"/>
  <sheetViews>
    <sheetView workbookViewId="0"/>
  </sheetViews>
  <sheetFormatPr defaultRowHeight="17.399999999999999"/>
  <cols>
    <col min="1" max="1" width="3" customWidth="1"/>
  </cols>
  <sheetData>
    <row r="2" spans="2:8">
      <c r="B2" s="78" t="s">
        <v>333</v>
      </c>
      <c r="C2" s="78" t="s">
        <v>334</v>
      </c>
      <c r="D2" s="78" t="s">
        <v>335</v>
      </c>
      <c r="E2" s="78" t="s">
        <v>336</v>
      </c>
      <c r="F2" s="78" t="s">
        <v>337</v>
      </c>
      <c r="G2" s="78" t="s">
        <v>338</v>
      </c>
      <c r="H2" s="78" t="s">
        <v>339</v>
      </c>
    </row>
    <row r="3" spans="2:8">
      <c r="B3" s="79">
        <v>983001</v>
      </c>
      <c r="C3" s="79" t="s">
        <v>340</v>
      </c>
      <c r="D3" s="79" t="s">
        <v>341</v>
      </c>
      <c r="E3" s="79">
        <v>60</v>
      </c>
      <c r="F3" s="79">
        <v>60</v>
      </c>
      <c r="G3" s="79">
        <v>90</v>
      </c>
      <c r="H3" s="79">
        <f>SUM(E3:G3)</f>
        <v>210</v>
      </c>
    </row>
    <row r="4" spans="2:8">
      <c r="B4" s="79">
        <v>983003</v>
      </c>
      <c r="C4" s="79" t="s">
        <v>342</v>
      </c>
      <c r="D4" s="79" t="s">
        <v>341</v>
      </c>
      <c r="E4" s="79">
        <v>50</v>
      </c>
      <c r="F4" s="79">
        <v>70</v>
      </c>
      <c r="G4" s="79">
        <v>90</v>
      </c>
      <c r="H4" s="79">
        <f>SUM(E4:G4)</f>
        <v>210</v>
      </c>
    </row>
    <row r="5" spans="2:8">
      <c r="B5" s="79">
        <v>942020</v>
      </c>
      <c r="C5" s="79" t="s">
        <v>343</v>
      </c>
      <c r="D5" s="79" t="s">
        <v>151</v>
      </c>
      <c r="E5" s="79">
        <v>90</v>
      </c>
      <c r="F5" s="79">
        <v>50</v>
      </c>
      <c r="G5" s="79">
        <v>100</v>
      </c>
      <c r="H5" s="79">
        <f>SUM(E5:G5)</f>
        <v>240</v>
      </c>
    </row>
    <row r="6" spans="2:8">
      <c r="B6" s="79">
        <v>942030</v>
      </c>
      <c r="C6" s="79" t="s">
        <v>344</v>
      </c>
      <c r="D6" s="79" t="s">
        <v>151</v>
      </c>
      <c r="E6" s="79">
        <v>40</v>
      </c>
      <c r="F6" s="79">
        <v>80</v>
      </c>
      <c r="G6" s="79">
        <v>80</v>
      </c>
      <c r="H6" s="79">
        <f>SUM(E6:G6)</f>
        <v>200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13"/>
  <sheetViews>
    <sheetView workbookViewId="0">
      <selection sqref="A1:G1"/>
    </sheetView>
  </sheetViews>
  <sheetFormatPr defaultRowHeight="17.399999999999999"/>
  <cols>
    <col min="1" max="2" width="7.69921875" customWidth="1"/>
    <col min="3" max="3" width="9" bestFit="1" customWidth="1"/>
    <col min="4" max="7" width="7.69921875" customWidth="1"/>
  </cols>
  <sheetData>
    <row r="1" spans="1:7" ht="20.399999999999999">
      <c r="A1" s="102" t="s">
        <v>345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346</v>
      </c>
      <c r="B3" s="81" t="s">
        <v>347</v>
      </c>
      <c r="C3" s="81" t="s">
        <v>348</v>
      </c>
      <c r="D3" s="81" t="s">
        <v>349</v>
      </c>
      <c r="E3" s="81" t="s">
        <v>350</v>
      </c>
      <c r="F3" s="81" t="s">
        <v>351</v>
      </c>
      <c r="G3" s="81" t="s">
        <v>352</v>
      </c>
    </row>
    <row r="4" spans="1:7">
      <c r="A4" s="8">
        <v>1</v>
      </c>
      <c r="B4" s="81" t="s">
        <v>353</v>
      </c>
      <c r="C4" s="81" t="s">
        <v>354</v>
      </c>
      <c r="D4" s="81" t="s">
        <v>355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356</v>
      </c>
      <c r="C5" s="81" t="s">
        <v>357</v>
      </c>
      <c r="D5" s="81" t="s">
        <v>358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359</v>
      </c>
      <c r="C6" s="81" t="s">
        <v>357</v>
      </c>
      <c r="D6" s="81" t="s">
        <v>282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360</v>
      </c>
      <c r="C7" s="81" t="s">
        <v>361</v>
      </c>
      <c r="D7" s="81" t="s">
        <v>282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362</v>
      </c>
      <c r="C8" s="81" t="s">
        <v>363</v>
      </c>
      <c r="D8" s="81" t="s">
        <v>355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364</v>
      </c>
      <c r="C9" s="81" t="s">
        <v>365</v>
      </c>
      <c r="D9" s="81" t="s">
        <v>366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367</v>
      </c>
      <c r="C10" s="81" t="s">
        <v>368</v>
      </c>
      <c r="D10" s="81" t="s">
        <v>282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369</v>
      </c>
      <c r="C11" s="81" t="s">
        <v>368</v>
      </c>
      <c r="D11" s="81" t="s">
        <v>282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370</v>
      </c>
      <c r="C12" s="81" t="s">
        <v>371</v>
      </c>
      <c r="D12" s="81" t="s">
        <v>372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365</v>
      </c>
      <c r="D13" s="81" t="s">
        <v>355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13"/>
  <sheetViews>
    <sheetView workbookViewId="0">
      <selection sqref="A1:G1"/>
    </sheetView>
  </sheetViews>
  <sheetFormatPr defaultRowHeight="17.399999999999999"/>
  <cols>
    <col min="1" max="2" width="7.69921875" customWidth="1"/>
    <col min="3" max="3" width="9" bestFit="1" customWidth="1"/>
    <col min="4" max="7" width="7.699218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375</v>
      </c>
      <c r="B3" s="81" t="s">
        <v>334</v>
      </c>
      <c r="C3" s="81" t="s">
        <v>376</v>
      </c>
      <c r="D3" s="81" t="s">
        <v>377</v>
      </c>
      <c r="E3" s="81" t="s">
        <v>378</v>
      </c>
      <c r="F3" s="81" t="s">
        <v>379</v>
      </c>
      <c r="G3" s="81" t="s">
        <v>41</v>
      </c>
    </row>
    <row r="4" spans="1:7">
      <c r="A4" s="8">
        <v>1</v>
      </c>
      <c r="B4" s="81" t="s">
        <v>380</v>
      </c>
      <c r="C4" s="81" t="s">
        <v>381</v>
      </c>
      <c r="D4" s="81" t="s">
        <v>382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383</v>
      </c>
      <c r="C5" s="81" t="s">
        <v>384</v>
      </c>
      <c r="D5" s="81" t="s">
        <v>266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385</v>
      </c>
      <c r="C6" s="81" t="s">
        <v>384</v>
      </c>
      <c r="D6" s="81" t="s">
        <v>266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386</v>
      </c>
      <c r="C7" s="81" t="s">
        <v>387</v>
      </c>
      <c r="D7" s="81" t="s">
        <v>266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388</v>
      </c>
      <c r="C8" s="81" t="s">
        <v>389</v>
      </c>
      <c r="D8" s="81" t="s">
        <v>287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390</v>
      </c>
      <c r="C9" s="81" t="s">
        <v>391</v>
      </c>
      <c r="D9" s="81" t="s">
        <v>287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392</v>
      </c>
      <c r="C10" s="81" t="s">
        <v>387</v>
      </c>
      <c r="D10" s="81" t="s">
        <v>266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393</v>
      </c>
      <c r="C11" s="81" t="s">
        <v>387</v>
      </c>
      <c r="D11" s="81" t="s">
        <v>394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370</v>
      </c>
      <c r="C12" s="81" t="s">
        <v>391</v>
      </c>
      <c r="D12" s="81" t="s">
        <v>266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395</v>
      </c>
      <c r="C13" s="81" t="s">
        <v>391</v>
      </c>
      <c r="D13" s="81" t="s">
        <v>287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13"/>
  <sheetViews>
    <sheetView workbookViewId="0">
      <selection sqref="A1:G1"/>
    </sheetView>
  </sheetViews>
  <sheetFormatPr defaultRowHeight="17.399999999999999"/>
  <cols>
    <col min="1" max="2" width="7.69921875" customWidth="1"/>
    <col min="3" max="3" width="9" bestFit="1" customWidth="1"/>
    <col min="4" max="7" width="7.699218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396</v>
      </c>
      <c r="B3" s="81" t="s">
        <v>334</v>
      </c>
      <c r="C3" s="81" t="s">
        <v>397</v>
      </c>
      <c r="D3" s="81" t="s">
        <v>377</v>
      </c>
      <c r="E3" s="81" t="s">
        <v>108</v>
      </c>
      <c r="F3" s="81" t="s">
        <v>398</v>
      </c>
      <c r="G3" s="81" t="s">
        <v>41</v>
      </c>
    </row>
    <row r="4" spans="1:7">
      <c r="A4" s="8">
        <v>1</v>
      </c>
      <c r="B4" s="81" t="s">
        <v>399</v>
      </c>
      <c r="C4" s="81" t="s">
        <v>252</v>
      </c>
      <c r="D4" s="81" t="s">
        <v>400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401</v>
      </c>
      <c r="C5" s="81" t="s">
        <v>402</v>
      </c>
      <c r="D5" s="81" t="s">
        <v>403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404</v>
      </c>
      <c r="C6" s="81" t="s">
        <v>405</v>
      </c>
      <c r="D6" s="81" t="s">
        <v>403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406</v>
      </c>
      <c r="C7" s="81" t="s">
        <v>407</v>
      </c>
      <c r="D7" s="81" t="s">
        <v>403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408</v>
      </c>
      <c r="C8" s="81" t="s">
        <v>402</v>
      </c>
      <c r="D8" s="81" t="s">
        <v>400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409</v>
      </c>
      <c r="C9" s="81" t="s">
        <v>371</v>
      </c>
      <c r="D9" s="81" t="s">
        <v>400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410</v>
      </c>
      <c r="C10" s="81" t="s">
        <v>368</v>
      </c>
      <c r="D10" s="81" t="s">
        <v>403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411</v>
      </c>
      <c r="C11" s="81" t="s">
        <v>407</v>
      </c>
      <c r="D11" s="81" t="s">
        <v>403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370</v>
      </c>
      <c r="C12" s="81" t="s">
        <v>371</v>
      </c>
      <c r="D12" s="81" t="s">
        <v>282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371</v>
      </c>
      <c r="D13" s="81" t="s">
        <v>366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13"/>
  <sheetViews>
    <sheetView workbookViewId="0">
      <selection sqref="A1:G1"/>
    </sheetView>
  </sheetViews>
  <sheetFormatPr defaultRowHeight="17.399999999999999"/>
  <cols>
    <col min="1" max="2" width="7.69921875" customWidth="1"/>
    <col min="3" max="3" width="9" bestFit="1" customWidth="1"/>
    <col min="4" max="7" width="7.699218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412</v>
      </c>
      <c r="B3" s="81" t="s">
        <v>413</v>
      </c>
      <c r="C3" s="81" t="s">
        <v>397</v>
      </c>
      <c r="D3" s="81" t="s">
        <v>414</v>
      </c>
      <c r="E3" s="81" t="s">
        <v>415</v>
      </c>
      <c r="F3" s="81" t="s">
        <v>416</v>
      </c>
      <c r="G3" s="81" t="s">
        <v>417</v>
      </c>
    </row>
    <row r="4" spans="1:7">
      <c r="A4" s="8">
        <v>1</v>
      </c>
      <c r="B4" s="81" t="s">
        <v>418</v>
      </c>
      <c r="C4" s="81" t="s">
        <v>252</v>
      </c>
      <c r="D4" s="81" t="s">
        <v>419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420</v>
      </c>
      <c r="C5" s="81" t="s">
        <v>402</v>
      </c>
      <c r="D5" s="81" t="s">
        <v>266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421</v>
      </c>
      <c r="C6" s="81" t="s">
        <v>402</v>
      </c>
      <c r="D6" s="81" t="s">
        <v>422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406</v>
      </c>
      <c r="C7" s="81" t="s">
        <v>368</v>
      </c>
      <c r="D7" s="81" t="s">
        <v>422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423</v>
      </c>
      <c r="C8" s="81" t="s">
        <v>424</v>
      </c>
      <c r="D8" s="81" t="s">
        <v>287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409</v>
      </c>
      <c r="C9" s="81" t="s">
        <v>371</v>
      </c>
      <c r="D9" s="81" t="s">
        <v>366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410</v>
      </c>
      <c r="C10" s="81" t="s">
        <v>425</v>
      </c>
      <c r="D10" s="81" t="s">
        <v>422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369</v>
      </c>
      <c r="C11" s="81" t="s">
        <v>425</v>
      </c>
      <c r="D11" s="81" t="s">
        <v>422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370</v>
      </c>
      <c r="C12" s="81" t="s">
        <v>391</v>
      </c>
      <c r="D12" s="81" t="s">
        <v>282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371</v>
      </c>
      <c r="D13" s="81" t="s">
        <v>366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E9"/>
  <sheetViews>
    <sheetView workbookViewId="0">
      <selection sqref="A1:E1"/>
    </sheetView>
  </sheetViews>
  <sheetFormatPr defaultRowHeight="17.399999999999999"/>
  <cols>
    <col min="3" max="3" width="10.3984375" customWidth="1"/>
    <col min="4" max="4" width="9.59765625" customWidth="1"/>
    <col min="5" max="5" width="10.5" customWidth="1"/>
  </cols>
  <sheetData>
    <row r="1" spans="1:5">
      <c r="A1" s="90" t="s">
        <v>426</v>
      </c>
      <c r="B1" s="90"/>
      <c r="C1" s="90"/>
      <c r="D1" s="90"/>
      <c r="E1" s="90"/>
    </row>
    <row r="3" spans="1:5">
      <c r="A3" s="7" t="s">
        <v>427</v>
      </c>
      <c r="B3" s="7" t="s">
        <v>428</v>
      </c>
      <c r="C3" s="7" t="s">
        <v>429</v>
      </c>
      <c r="D3" s="7" t="s">
        <v>430</v>
      </c>
      <c r="E3" s="7" t="s">
        <v>431</v>
      </c>
    </row>
    <row r="4" spans="1:5">
      <c r="A4" s="7" t="s">
        <v>432</v>
      </c>
      <c r="B4" s="7" t="s">
        <v>433</v>
      </c>
      <c r="C4" s="72">
        <v>1150</v>
      </c>
      <c r="D4" s="72">
        <v>1190</v>
      </c>
      <c r="E4" s="72">
        <v>1646008</v>
      </c>
    </row>
    <row r="5" spans="1:5">
      <c r="A5" s="7" t="s">
        <v>434</v>
      </c>
      <c r="B5" s="7" t="s">
        <v>433</v>
      </c>
      <c r="C5" s="72">
        <v>1200</v>
      </c>
      <c r="D5" s="72">
        <v>1100</v>
      </c>
      <c r="E5" s="72">
        <v>1521520</v>
      </c>
    </row>
    <row r="6" spans="1:5">
      <c r="A6" s="7" t="s">
        <v>435</v>
      </c>
      <c r="B6" s="7" t="s">
        <v>433</v>
      </c>
      <c r="C6" s="72">
        <v>1080</v>
      </c>
      <c r="D6" s="72">
        <v>1210</v>
      </c>
      <c r="E6" s="72">
        <v>1673672</v>
      </c>
    </row>
    <row r="7" spans="1:5">
      <c r="A7" s="7" t="s">
        <v>436</v>
      </c>
      <c r="B7" s="7" t="s">
        <v>437</v>
      </c>
      <c r="C7" s="72">
        <v>780</v>
      </c>
      <c r="D7" s="72">
        <v>800</v>
      </c>
      <c r="E7" s="72">
        <v>1170400</v>
      </c>
    </row>
    <row r="8" spans="1:5">
      <c r="A8" s="7" t="s">
        <v>438</v>
      </c>
      <c r="B8" s="7" t="s">
        <v>437</v>
      </c>
      <c r="C8" s="72">
        <v>660</v>
      </c>
      <c r="D8" s="72">
        <v>760</v>
      </c>
      <c r="E8" s="72">
        <v>1111880</v>
      </c>
    </row>
    <row r="9" spans="1:5">
      <c r="A9" s="7" t="s">
        <v>439</v>
      </c>
      <c r="B9" s="7" t="s">
        <v>440</v>
      </c>
      <c r="C9" s="72">
        <v>1300</v>
      </c>
      <c r="D9" s="72">
        <v>1302</v>
      </c>
      <c r="E9" s="72">
        <v>1904826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"/>
  <sheetViews>
    <sheetView workbookViewId="0"/>
  </sheetViews>
  <sheetFormatPr defaultRowHeight="17.399999999999999"/>
  <sheetData/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13"/>
  <sheetViews>
    <sheetView workbookViewId="0">
      <selection sqref="A1:G1"/>
    </sheetView>
  </sheetViews>
  <sheetFormatPr defaultRowHeight="17.399999999999999"/>
  <cols>
    <col min="1" max="1" width="6.09765625" customWidth="1"/>
    <col min="4" max="4" width="6.8984375" customWidth="1"/>
    <col min="5" max="5" width="7.19921875" customWidth="1"/>
    <col min="6" max="6" width="7.8984375" customWidth="1"/>
    <col min="7" max="7" width="7.3984375" customWidth="1"/>
  </cols>
  <sheetData>
    <row r="1" spans="1:7" ht="20.399999999999999">
      <c r="A1" s="102" t="s">
        <v>441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442</v>
      </c>
      <c r="B3" s="81" t="s">
        <v>443</v>
      </c>
      <c r="C3" s="81" t="s">
        <v>444</v>
      </c>
      <c r="D3" s="81" t="s">
        <v>445</v>
      </c>
      <c r="E3" s="81" t="s">
        <v>446</v>
      </c>
      <c r="F3" s="81" t="s">
        <v>447</v>
      </c>
      <c r="G3" s="81" t="s">
        <v>448</v>
      </c>
    </row>
    <row r="4" spans="1:7">
      <c r="A4" s="8">
        <v>1</v>
      </c>
      <c r="B4" s="81" t="s">
        <v>449</v>
      </c>
      <c r="C4" s="81" t="s">
        <v>450</v>
      </c>
      <c r="D4" s="81" t="s">
        <v>451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452</v>
      </c>
      <c r="C5" s="81" t="s">
        <v>402</v>
      </c>
      <c r="D5" s="81" t="s">
        <v>453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454</v>
      </c>
      <c r="C6" s="81" t="s">
        <v>455</v>
      </c>
      <c r="D6" s="81" t="s">
        <v>453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456</v>
      </c>
      <c r="C7" s="81" t="s">
        <v>457</v>
      </c>
      <c r="D7" s="81" t="s">
        <v>282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362</v>
      </c>
      <c r="C8" s="81" t="s">
        <v>455</v>
      </c>
      <c r="D8" s="81" t="s">
        <v>451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458</v>
      </c>
      <c r="C9" s="81" t="s">
        <v>459</v>
      </c>
      <c r="D9" s="81" t="s">
        <v>451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460</v>
      </c>
      <c r="C10" s="81" t="s">
        <v>461</v>
      </c>
      <c r="D10" s="81" t="s">
        <v>462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369</v>
      </c>
      <c r="C11" s="81" t="s">
        <v>368</v>
      </c>
      <c r="D11" s="81" t="s">
        <v>282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463</v>
      </c>
      <c r="C12" s="81" t="s">
        <v>464</v>
      </c>
      <c r="D12" s="81" t="s">
        <v>282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371</v>
      </c>
      <c r="D13" s="81" t="s">
        <v>465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13"/>
  <sheetViews>
    <sheetView workbookViewId="0">
      <selection sqref="A1:G1"/>
    </sheetView>
  </sheetViews>
  <sheetFormatPr defaultRowHeight="17.399999999999999"/>
  <cols>
    <col min="1" max="1" width="6.09765625" customWidth="1"/>
    <col min="4" max="4" width="6.8984375" customWidth="1"/>
    <col min="5" max="5" width="7.19921875" customWidth="1"/>
    <col min="6" max="6" width="7.8984375" customWidth="1"/>
    <col min="7" max="7" width="7.39843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466</v>
      </c>
      <c r="B3" s="81" t="s">
        <v>334</v>
      </c>
      <c r="C3" s="81" t="s">
        <v>397</v>
      </c>
      <c r="D3" s="81" t="s">
        <v>377</v>
      </c>
      <c r="E3" s="81" t="s">
        <v>108</v>
      </c>
      <c r="F3" s="81" t="s">
        <v>398</v>
      </c>
      <c r="G3" s="81" t="s">
        <v>41</v>
      </c>
    </row>
    <row r="4" spans="1:7">
      <c r="A4" s="8">
        <v>1</v>
      </c>
      <c r="B4" s="81" t="s">
        <v>399</v>
      </c>
      <c r="C4" s="81" t="s">
        <v>252</v>
      </c>
      <c r="D4" s="81" t="s">
        <v>467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420</v>
      </c>
      <c r="C5" s="81" t="s">
        <v>384</v>
      </c>
      <c r="D5" s="81" t="s">
        <v>468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404</v>
      </c>
      <c r="C6" s="81" t="s">
        <v>402</v>
      </c>
      <c r="D6" s="81" t="s">
        <v>468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406</v>
      </c>
      <c r="C7" s="81" t="s">
        <v>368</v>
      </c>
      <c r="D7" s="81" t="s">
        <v>468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362</v>
      </c>
      <c r="C8" s="81" t="s">
        <v>402</v>
      </c>
      <c r="D8" s="81" t="s">
        <v>469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409</v>
      </c>
      <c r="C9" s="81" t="s">
        <v>371</v>
      </c>
      <c r="D9" s="81" t="s">
        <v>469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410</v>
      </c>
      <c r="C10" s="81" t="s">
        <v>368</v>
      </c>
      <c r="D10" s="81" t="s">
        <v>468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369</v>
      </c>
      <c r="C11" s="81" t="s">
        <v>368</v>
      </c>
      <c r="D11" s="81" t="s">
        <v>468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370</v>
      </c>
      <c r="C12" s="81" t="s">
        <v>371</v>
      </c>
      <c r="D12" s="81" t="s">
        <v>468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371</v>
      </c>
      <c r="D13" s="81" t="s">
        <v>467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13"/>
  <sheetViews>
    <sheetView workbookViewId="0">
      <selection sqref="A1:G1"/>
    </sheetView>
  </sheetViews>
  <sheetFormatPr defaultRowHeight="17.399999999999999"/>
  <cols>
    <col min="1" max="1" width="6.09765625" customWidth="1"/>
    <col min="4" max="4" width="6.8984375" customWidth="1"/>
    <col min="5" max="5" width="7.19921875" customWidth="1"/>
    <col min="6" max="6" width="7.8984375" customWidth="1"/>
    <col min="7" max="7" width="7.3984375" customWidth="1"/>
  </cols>
  <sheetData>
    <row r="1" spans="1:7" ht="20.399999999999999">
      <c r="A1" s="102" t="s">
        <v>470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471</v>
      </c>
      <c r="B3" s="81" t="s">
        <v>472</v>
      </c>
      <c r="C3" s="81" t="s">
        <v>473</v>
      </c>
      <c r="D3" s="81" t="s">
        <v>474</v>
      </c>
      <c r="E3" s="81" t="s">
        <v>475</v>
      </c>
      <c r="F3" s="81" t="s">
        <v>476</v>
      </c>
      <c r="G3" s="81" t="s">
        <v>477</v>
      </c>
    </row>
    <row r="4" spans="1:7">
      <c r="A4" s="8">
        <v>1</v>
      </c>
      <c r="B4" s="81" t="s">
        <v>478</v>
      </c>
      <c r="C4" s="81" t="s">
        <v>479</v>
      </c>
      <c r="D4" s="81" t="s">
        <v>480</v>
      </c>
      <c r="E4" s="8">
        <v>98</v>
      </c>
      <c r="F4" s="8">
        <v>85</v>
      </c>
      <c r="G4" s="8">
        <v>183</v>
      </c>
    </row>
    <row r="5" spans="1:7">
      <c r="A5" s="8">
        <v>2</v>
      </c>
      <c r="B5" s="81" t="s">
        <v>481</v>
      </c>
      <c r="C5" s="81" t="s">
        <v>482</v>
      </c>
      <c r="D5" s="81" t="s">
        <v>483</v>
      </c>
      <c r="E5" s="8">
        <v>95</v>
      </c>
      <c r="F5" s="8">
        <v>100</v>
      </c>
      <c r="G5" s="8">
        <v>195</v>
      </c>
    </row>
    <row r="6" spans="1:7">
      <c r="A6" s="8">
        <v>3</v>
      </c>
      <c r="B6" s="81" t="s">
        <v>484</v>
      </c>
      <c r="C6" s="81" t="s">
        <v>482</v>
      </c>
      <c r="D6" s="81" t="s">
        <v>483</v>
      </c>
      <c r="E6" s="8">
        <v>80</v>
      </c>
      <c r="F6" s="8">
        <v>75</v>
      </c>
      <c r="G6" s="8">
        <v>155</v>
      </c>
    </row>
    <row r="7" spans="1:7">
      <c r="A7" s="8">
        <v>4</v>
      </c>
      <c r="B7" s="81" t="s">
        <v>485</v>
      </c>
      <c r="C7" s="81" t="s">
        <v>368</v>
      </c>
      <c r="D7" s="81" t="s">
        <v>483</v>
      </c>
      <c r="E7" s="8">
        <v>85</v>
      </c>
      <c r="F7" s="8">
        <v>90</v>
      </c>
      <c r="G7" s="8">
        <v>175</v>
      </c>
    </row>
    <row r="8" spans="1:7">
      <c r="A8" s="8">
        <v>5</v>
      </c>
      <c r="B8" s="81" t="s">
        <v>486</v>
      </c>
      <c r="C8" s="81" t="s">
        <v>402</v>
      </c>
      <c r="D8" s="81" t="s">
        <v>480</v>
      </c>
      <c r="E8" s="8">
        <v>100</v>
      </c>
      <c r="F8" s="8">
        <v>100</v>
      </c>
      <c r="G8" s="8">
        <v>200</v>
      </c>
    </row>
    <row r="9" spans="1:7">
      <c r="A9" s="8">
        <v>6</v>
      </c>
      <c r="B9" s="81" t="s">
        <v>409</v>
      </c>
      <c r="C9" s="81" t="s">
        <v>371</v>
      </c>
      <c r="D9" s="81" t="s">
        <v>480</v>
      </c>
      <c r="E9" s="8">
        <v>80</v>
      </c>
      <c r="F9" s="8">
        <v>75</v>
      </c>
      <c r="G9" s="8">
        <v>155</v>
      </c>
    </row>
    <row r="10" spans="1:7">
      <c r="A10" s="8">
        <v>7</v>
      </c>
      <c r="B10" s="81" t="s">
        <v>410</v>
      </c>
      <c r="C10" s="81" t="s">
        <v>368</v>
      </c>
      <c r="D10" s="81" t="s">
        <v>282</v>
      </c>
      <c r="E10" s="8">
        <v>100</v>
      </c>
      <c r="F10" s="8">
        <v>80</v>
      </c>
      <c r="G10" s="8">
        <v>180</v>
      </c>
    </row>
    <row r="11" spans="1:7">
      <c r="A11" s="8">
        <v>8</v>
      </c>
      <c r="B11" s="81" t="s">
        <v>487</v>
      </c>
      <c r="C11" s="81" t="s">
        <v>368</v>
      </c>
      <c r="D11" s="81" t="s">
        <v>282</v>
      </c>
      <c r="E11" s="8">
        <v>90</v>
      </c>
      <c r="F11" s="8">
        <v>70</v>
      </c>
      <c r="G11" s="8">
        <v>160</v>
      </c>
    </row>
    <row r="12" spans="1:7">
      <c r="A12" s="8">
        <v>9</v>
      </c>
      <c r="B12" s="81" t="s">
        <v>488</v>
      </c>
      <c r="C12" s="81" t="s">
        <v>371</v>
      </c>
      <c r="D12" s="81" t="s">
        <v>282</v>
      </c>
      <c r="E12" s="8">
        <v>80</v>
      </c>
      <c r="F12" s="8">
        <v>90</v>
      </c>
      <c r="G12" s="8">
        <v>170</v>
      </c>
    </row>
    <row r="13" spans="1:7">
      <c r="A13" s="8">
        <v>10</v>
      </c>
      <c r="B13" s="81" t="s">
        <v>373</v>
      </c>
      <c r="C13" s="81" t="s">
        <v>489</v>
      </c>
      <c r="D13" s="81" t="s">
        <v>480</v>
      </c>
      <c r="E13" s="8">
        <v>90</v>
      </c>
      <c r="F13" s="8">
        <v>50</v>
      </c>
      <c r="G13" s="8">
        <v>140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F14"/>
  <sheetViews>
    <sheetView workbookViewId="0">
      <selection sqref="A1:F1"/>
    </sheetView>
  </sheetViews>
  <sheetFormatPr defaultRowHeight="17.399999999999999"/>
  <sheetData>
    <row r="1" spans="1:6">
      <c r="A1" s="103" t="s">
        <v>490</v>
      </c>
      <c r="B1" s="103"/>
      <c r="C1" s="103"/>
      <c r="D1" s="103"/>
      <c r="E1" s="103"/>
      <c r="F1" s="103"/>
    </row>
    <row r="3" spans="1:6">
      <c r="A3" s="8" t="s">
        <v>491</v>
      </c>
      <c r="B3" s="8" t="s">
        <v>492</v>
      </c>
      <c r="C3" s="8" t="s">
        <v>493</v>
      </c>
      <c r="D3" s="8" t="s">
        <v>494</v>
      </c>
      <c r="E3" s="8" t="s">
        <v>495</v>
      </c>
      <c r="F3" s="8" t="s">
        <v>496</v>
      </c>
    </row>
    <row r="4" spans="1:6">
      <c r="A4" s="8" t="s">
        <v>497</v>
      </c>
      <c r="B4" s="8" t="s">
        <v>498</v>
      </c>
      <c r="C4" s="8">
        <v>9</v>
      </c>
      <c r="D4" s="8">
        <v>2113700</v>
      </c>
      <c r="E4" s="8">
        <v>70000</v>
      </c>
      <c r="F4" s="8">
        <v>250000</v>
      </c>
    </row>
    <row r="5" spans="1:6">
      <c r="A5" s="8" t="s">
        <v>499</v>
      </c>
      <c r="B5" s="8" t="s">
        <v>500</v>
      </c>
      <c r="C5" s="8">
        <v>10</v>
      </c>
      <c r="D5" s="8">
        <v>2371500</v>
      </c>
      <c r="E5" s="8">
        <v>70000</v>
      </c>
      <c r="F5" s="8">
        <v>300000</v>
      </c>
    </row>
    <row r="6" spans="1:6">
      <c r="A6" s="8" t="s">
        <v>501</v>
      </c>
      <c r="B6" s="8" t="s">
        <v>500</v>
      </c>
      <c r="C6" s="8">
        <v>8</v>
      </c>
      <c r="D6" s="8">
        <v>1810000</v>
      </c>
      <c r="E6" s="8">
        <v>70000</v>
      </c>
      <c r="F6" s="8">
        <v>200000</v>
      </c>
    </row>
    <row r="7" spans="1:6">
      <c r="A7" s="8" t="s">
        <v>502</v>
      </c>
      <c r="B7" s="8" t="s">
        <v>498</v>
      </c>
      <c r="C7" s="8">
        <v>4</v>
      </c>
      <c r="D7" s="8">
        <v>815600</v>
      </c>
      <c r="E7" s="8">
        <v>70000</v>
      </c>
      <c r="F7" s="8"/>
    </row>
    <row r="8" spans="1:6">
      <c r="A8" s="8" t="s">
        <v>503</v>
      </c>
      <c r="B8" s="8" t="s">
        <v>498</v>
      </c>
      <c r="C8" s="8">
        <v>5</v>
      </c>
      <c r="D8" s="8">
        <v>1159200</v>
      </c>
      <c r="E8" s="8">
        <v>70000</v>
      </c>
      <c r="F8" s="8"/>
    </row>
    <row r="9" spans="1:6">
      <c r="A9" s="8" t="s">
        <v>504</v>
      </c>
      <c r="B9" s="8" t="s">
        <v>505</v>
      </c>
      <c r="C9" s="8">
        <v>7</v>
      </c>
      <c r="D9" s="8">
        <v>1466300</v>
      </c>
      <c r="E9" s="8">
        <v>70000</v>
      </c>
      <c r="F9" s="8"/>
    </row>
    <row r="10" spans="1:6">
      <c r="A10" s="8" t="s">
        <v>506</v>
      </c>
      <c r="B10" s="8" t="s">
        <v>498</v>
      </c>
      <c r="C10" s="8">
        <v>5</v>
      </c>
      <c r="D10" s="8">
        <v>952600</v>
      </c>
      <c r="E10" s="8">
        <v>70000</v>
      </c>
      <c r="F10" s="8"/>
    </row>
    <row r="11" spans="1:6">
      <c r="A11" s="8" t="s">
        <v>507</v>
      </c>
      <c r="B11" s="8" t="s">
        <v>508</v>
      </c>
      <c r="C11" s="8">
        <v>3</v>
      </c>
      <c r="D11" s="8">
        <v>1499400</v>
      </c>
      <c r="E11" s="8">
        <v>70000</v>
      </c>
      <c r="F11" s="8">
        <v>200000</v>
      </c>
    </row>
    <row r="12" spans="1:6">
      <c r="A12" s="8" t="s">
        <v>509</v>
      </c>
      <c r="B12" s="8" t="s">
        <v>505</v>
      </c>
      <c r="C12" s="8">
        <v>6</v>
      </c>
      <c r="D12" s="8">
        <v>803400</v>
      </c>
      <c r="E12" s="8">
        <v>70000</v>
      </c>
      <c r="F12" s="8"/>
    </row>
    <row r="13" spans="1:6">
      <c r="A13" s="8" t="s">
        <v>510</v>
      </c>
      <c r="B13" s="8" t="s">
        <v>500</v>
      </c>
      <c r="C13" s="8">
        <v>6</v>
      </c>
      <c r="D13" s="8">
        <v>1159200</v>
      </c>
      <c r="E13" s="8">
        <v>70000</v>
      </c>
      <c r="F13" s="8">
        <v>250000</v>
      </c>
    </row>
    <row r="14" spans="1:6">
      <c r="A14" s="8" t="s">
        <v>511</v>
      </c>
      <c r="B14" s="8" t="s">
        <v>498</v>
      </c>
      <c r="C14" s="8">
        <v>1</v>
      </c>
      <c r="D14" s="8">
        <v>968300</v>
      </c>
      <c r="E14" s="8">
        <v>70000</v>
      </c>
      <c r="F14" s="8">
        <v>300000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8"/>
  <sheetViews>
    <sheetView workbookViewId="0">
      <selection sqref="A1:G1"/>
    </sheetView>
  </sheetViews>
  <sheetFormatPr defaultRowHeight="17.399999999999999"/>
  <cols>
    <col min="1" max="1" width="5.19921875" bestFit="1" customWidth="1"/>
    <col min="2" max="2" width="7.5" customWidth="1"/>
    <col min="4" max="4" width="6.09765625" customWidth="1"/>
    <col min="5" max="5" width="6.8984375" customWidth="1"/>
    <col min="6" max="6" width="8.19921875" customWidth="1"/>
    <col min="7" max="7" width="6.89843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466</v>
      </c>
      <c r="B3" s="81" t="s">
        <v>334</v>
      </c>
      <c r="C3" s="81" t="s">
        <v>397</v>
      </c>
      <c r="D3" s="81" t="s">
        <v>377</v>
      </c>
      <c r="E3" s="81" t="s">
        <v>108</v>
      </c>
      <c r="F3" s="81" t="s">
        <v>398</v>
      </c>
      <c r="G3" s="81" t="s">
        <v>512</v>
      </c>
    </row>
    <row r="4" spans="1:7">
      <c r="A4" s="8">
        <v>1</v>
      </c>
      <c r="B4" s="81" t="s">
        <v>399</v>
      </c>
      <c r="C4" s="81" t="s">
        <v>513</v>
      </c>
      <c r="D4" s="81" t="s">
        <v>514</v>
      </c>
      <c r="E4" s="8">
        <v>98</v>
      </c>
      <c r="F4" s="8">
        <v>85</v>
      </c>
      <c r="G4" s="8">
        <f>AVERAGE(E4:F4)</f>
        <v>91.5</v>
      </c>
    </row>
    <row r="5" spans="1:7">
      <c r="A5" s="8">
        <v>2</v>
      </c>
      <c r="B5" s="81" t="s">
        <v>420</v>
      </c>
      <c r="C5" s="81" t="s">
        <v>515</v>
      </c>
      <c r="D5" s="81" t="s">
        <v>516</v>
      </c>
      <c r="E5" s="8">
        <v>95</v>
      </c>
      <c r="F5" s="8">
        <v>100</v>
      </c>
      <c r="G5" s="8">
        <f>AVERAGE(E5:F5)</f>
        <v>97.5</v>
      </c>
    </row>
    <row r="6" spans="1:7">
      <c r="A6" s="8">
        <v>3</v>
      </c>
      <c r="B6" s="81" t="s">
        <v>385</v>
      </c>
      <c r="C6" s="81" t="s">
        <v>384</v>
      </c>
      <c r="D6" s="81" t="s">
        <v>266</v>
      </c>
      <c r="E6" s="8">
        <v>80</v>
      </c>
      <c r="F6" s="8">
        <v>75</v>
      </c>
      <c r="G6" s="8">
        <f>AVERAGE(E6:F6)</f>
        <v>77.5</v>
      </c>
    </row>
    <row r="7" spans="1:7">
      <c r="A7" s="8">
        <v>4</v>
      </c>
      <c r="B7" s="81" t="s">
        <v>386</v>
      </c>
      <c r="C7" s="81" t="s">
        <v>387</v>
      </c>
      <c r="D7" s="81" t="s">
        <v>266</v>
      </c>
      <c r="E7" s="8">
        <v>85</v>
      </c>
      <c r="F7" s="8">
        <v>90</v>
      </c>
      <c r="G7" s="8">
        <f>AVERAGE(E7:F7)</f>
        <v>87.5</v>
      </c>
    </row>
    <row r="8" spans="1:7">
      <c r="A8" s="8">
        <v>5</v>
      </c>
      <c r="B8" s="81" t="s">
        <v>517</v>
      </c>
      <c r="C8" s="81" t="s">
        <v>384</v>
      </c>
      <c r="D8" s="81" t="s">
        <v>287</v>
      </c>
      <c r="E8" s="8">
        <v>100</v>
      </c>
      <c r="F8" s="8">
        <v>100</v>
      </c>
      <c r="G8" s="8">
        <f>AVERAGE(E8:F8)</f>
        <v>100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8"/>
  <sheetViews>
    <sheetView workbookViewId="0">
      <selection sqref="A1:G1"/>
    </sheetView>
  </sheetViews>
  <sheetFormatPr defaultRowHeight="17.399999999999999"/>
  <cols>
    <col min="1" max="1" width="5.19921875" bestFit="1" customWidth="1"/>
    <col min="2" max="2" width="7.5" customWidth="1"/>
    <col min="4" max="4" width="6.09765625" customWidth="1"/>
    <col min="5" max="5" width="6.8984375" customWidth="1"/>
    <col min="6" max="6" width="8.19921875" customWidth="1"/>
    <col min="7" max="7" width="6.8984375" customWidth="1"/>
  </cols>
  <sheetData>
    <row r="1" spans="1:7" ht="20.399999999999999">
      <c r="A1" s="102" t="s">
        <v>374</v>
      </c>
      <c r="B1" s="102"/>
      <c r="C1" s="102"/>
      <c r="D1" s="102"/>
      <c r="E1" s="102"/>
      <c r="F1" s="102"/>
      <c r="G1" s="102"/>
    </row>
    <row r="2" spans="1:7">
      <c r="A2" s="80"/>
      <c r="B2" s="80"/>
      <c r="C2" s="80"/>
      <c r="D2" s="80"/>
      <c r="E2" s="80"/>
      <c r="F2" s="80"/>
      <c r="G2" s="80"/>
    </row>
    <row r="3" spans="1:7">
      <c r="A3" s="81" t="s">
        <v>518</v>
      </c>
      <c r="B3" s="81" t="s">
        <v>519</v>
      </c>
      <c r="C3" s="81" t="s">
        <v>520</v>
      </c>
      <c r="D3" s="81" t="s">
        <v>445</v>
      </c>
      <c r="E3" s="81" t="s">
        <v>521</v>
      </c>
      <c r="F3" s="81" t="s">
        <v>398</v>
      </c>
      <c r="G3" s="81" t="s">
        <v>522</v>
      </c>
    </row>
    <row r="4" spans="1:7">
      <c r="A4" s="8">
        <v>1</v>
      </c>
      <c r="B4" s="81" t="s">
        <v>523</v>
      </c>
      <c r="C4" s="81" t="s">
        <v>252</v>
      </c>
      <c r="D4" s="81" t="s">
        <v>287</v>
      </c>
      <c r="E4" s="8">
        <v>98</v>
      </c>
      <c r="F4" s="8">
        <v>70</v>
      </c>
      <c r="G4" s="8">
        <f>AVERAGE(E4:F4)</f>
        <v>84</v>
      </c>
    </row>
    <row r="5" spans="1:7">
      <c r="A5" s="8">
        <v>2</v>
      </c>
      <c r="B5" s="81" t="s">
        <v>420</v>
      </c>
      <c r="C5" s="81" t="s">
        <v>524</v>
      </c>
      <c r="D5" s="81" t="s">
        <v>266</v>
      </c>
      <c r="E5" s="8">
        <v>95</v>
      </c>
      <c r="F5" s="8">
        <v>100</v>
      </c>
      <c r="G5" s="8">
        <f>AVERAGE(E5:F5)</f>
        <v>97.5</v>
      </c>
    </row>
    <row r="6" spans="1:7">
      <c r="A6" s="8">
        <v>3</v>
      </c>
      <c r="B6" s="81" t="s">
        <v>525</v>
      </c>
      <c r="C6" s="81" t="s">
        <v>384</v>
      </c>
      <c r="D6" s="81" t="s">
        <v>266</v>
      </c>
      <c r="E6" s="8">
        <v>80</v>
      </c>
      <c r="F6" s="8">
        <v>75</v>
      </c>
      <c r="G6" s="8">
        <f>AVERAGE(E6:F6)</f>
        <v>77.5</v>
      </c>
    </row>
    <row r="7" spans="1:7">
      <c r="A7" s="8">
        <v>4</v>
      </c>
      <c r="B7" s="81" t="s">
        <v>386</v>
      </c>
      <c r="C7" s="81" t="s">
        <v>387</v>
      </c>
      <c r="D7" s="81" t="s">
        <v>526</v>
      </c>
      <c r="E7" s="8">
        <v>85</v>
      </c>
      <c r="F7" s="8">
        <v>90</v>
      </c>
      <c r="G7" s="8">
        <f>AVERAGE(E7:F7)</f>
        <v>87.5</v>
      </c>
    </row>
    <row r="8" spans="1:7">
      <c r="A8" s="8">
        <v>5</v>
      </c>
      <c r="B8" s="81" t="s">
        <v>527</v>
      </c>
      <c r="C8" s="81" t="s">
        <v>384</v>
      </c>
      <c r="D8" s="81" t="s">
        <v>287</v>
      </c>
      <c r="E8" s="8">
        <v>100</v>
      </c>
      <c r="F8" s="8">
        <v>100</v>
      </c>
      <c r="G8" s="8">
        <f>AVERAGE(E8:F8)</f>
        <v>100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2:B16"/>
  <sheetViews>
    <sheetView workbookViewId="0"/>
  </sheetViews>
  <sheetFormatPr defaultRowHeight="17.399999999999999"/>
  <cols>
    <col min="1" max="1" width="9.69921875" customWidth="1"/>
    <col min="2" max="2" width="11.19921875" customWidth="1"/>
  </cols>
  <sheetData>
    <row r="2" spans="1:2">
      <c r="A2" s="8"/>
      <c r="B2" s="7" t="s">
        <v>528</v>
      </c>
    </row>
    <row r="3" spans="1:2">
      <c r="A3" s="7" t="s">
        <v>529</v>
      </c>
      <c r="B3" s="8">
        <v>1150</v>
      </c>
    </row>
    <row r="4" spans="1:2">
      <c r="A4" s="7" t="s">
        <v>530</v>
      </c>
      <c r="B4" s="8">
        <v>1650</v>
      </c>
    </row>
    <row r="5" spans="1:2">
      <c r="A5" s="7" t="s">
        <v>531</v>
      </c>
      <c r="B5" s="8">
        <v>2010</v>
      </c>
    </row>
    <row r="6" spans="1:2">
      <c r="A6" s="7" t="s">
        <v>532</v>
      </c>
      <c r="B6" s="8">
        <v>1110</v>
      </c>
    </row>
    <row r="7" spans="1:2">
      <c r="A7" s="7" t="s">
        <v>533</v>
      </c>
      <c r="B7" s="8">
        <v>2540</v>
      </c>
    </row>
    <row r="8" spans="1:2">
      <c r="A8" s="7" t="s">
        <v>534</v>
      </c>
      <c r="B8" s="8">
        <v>2100</v>
      </c>
    </row>
    <row r="9" spans="1:2">
      <c r="A9" s="7" t="s">
        <v>535</v>
      </c>
      <c r="B9" s="8">
        <f>AVERAGE(B3:B8)</f>
        <v>1760</v>
      </c>
    </row>
    <row r="11" spans="1:2">
      <c r="A11" s="28" t="s">
        <v>536</v>
      </c>
      <c r="B11" s="28" t="s">
        <v>535</v>
      </c>
    </row>
    <row r="13" spans="1:2">
      <c r="A13">
        <v>1000</v>
      </c>
    </row>
    <row r="14" spans="1:2">
      <c r="A14">
        <v>1500</v>
      </c>
    </row>
    <row r="15" spans="1:2">
      <c r="A15">
        <v>2000</v>
      </c>
    </row>
    <row r="16" spans="1:2">
      <c r="A16">
        <v>2500</v>
      </c>
    </row>
  </sheetData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2:G11"/>
  <sheetViews>
    <sheetView workbookViewId="0">
      <selection activeCell="G9" sqref="G9"/>
    </sheetView>
  </sheetViews>
  <sheetFormatPr defaultRowHeight="17.399999999999999"/>
  <cols>
    <col min="4" max="4" width="2.59765625" customWidth="1"/>
  </cols>
  <sheetData>
    <row r="2" spans="1:7">
      <c r="A2" s="90" t="s">
        <v>537</v>
      </c>
      <c r="B2" s="90"/>
      <c r="C2" s="90"/>
      <c r="E2" s="90" t="s">
        <v>538</v>
      </c>
      <c r="F2" s="90"/>
      <c r="G2" s="90"/>
    </row>
    <row r="3" spans="1:7">
      <c r="A3" s="7" t="s">
        <v>539</v>
      </c>
      <c r="B3" s="7" t="s">
        <v>540</v>
      </c>
      <c r="C3" s="7" t="s">
        <v>541</v>
      </c>
      <c r="E3" s="7" t="s">
        <v>542</v>
      </c>
      <c r="F3" s="7" t="s">
        <v>543</v>
      </c>
      <c r="G3" s="7" t="s">
        <v>544</v>
      </c>
    </row>
    <row r="4" spans="1:7">
      <c r="A4" s="7" t="s">
        <v>545</v>
      </c>
      <c r="B4" s="8">
        <v>20</v>
      </c>
      <c r="C4" s="8">
        <v>15</v>
      </c>
      <c r="E4" s="7" t="s">
        <v>546</v>
      </c>
      <c r="F4" s="8">
        <v>19</v>
      </c>
      <c r="G4" s="8">
        <v>20</v>
      </c>
    </row>
    <row r="5" spans="1:7">
      <c r="A5" s="7" t="s">
        <v>547</v>
      </c>
      <c r="B5" s="8">
        <v>7</v>
      </c>
      <c r="C5" s="8">
        <v>10</v>
      </c>
      <c r="E5" s="7" t="s">
        <v>548</v>
      </c>
      <c r="F5" s="8">
        <v>13</v>
      </c>
      <c r="G5" s="8">
        <v>15</v>
      </c>
    </row>
    <row r="6" spans="1:7">
      <c r="A6" s="7" t="s">
        <v>549</v>
      </c>
      <c r="B6" s="8">
        <v>13</v>
      </c>
      <c r="C6" s="8">
        <v>15</v>
      </c>
      <c r="E6" s="7" t="s">
        <v>550</v>
      </c>
      <c r="F6" s="8">
        <v>8</v>
      </c>
      <c r="G6" s="8">
        <v>10</v>
      </c>
    </row>
    <row r="7" spans="1:7">
      <c r="A7" s="7" t="s">
        <v>551</v>
      </c>
      <c r="B7" s="8">
        <v>14</v>
      </c>
      <c r="C7" s="8">
        <v>14</v>
      </c>
      <c r="E7" s="7" t="s">
        <v>552</v>
      </c>
      <c r="F7" s="8">
        <v>14</v>
      </c>
      <c r="G7" s="8">
        <v>15</v>
      </c>
    </row>
    <row r="8" spans="1:7">
      <c r="A8" s="7" t="s">
        <v>546</v>
      </c>
      <c r="B8" s="8">
        <v>17</v>
      </c>
      <c r="C8" s="8">
        <v>20</v>
      </c>
      <c r="E8" s="7" t="s">
        <v>553</v>
      </c>
      <c r="F8" s="8">
        <v>9</v>
      </c>
      <c r="G8" s="8">
        <v>15</v>
      </c>
    </row>
    <row r="10" spans="1:7">
      <c r="A10" s="90" t="s">
        <v>554</v>
      </c>
      <c r="B10" s="90"/>
      <c r="C10" s="90"/>
    </row>
    <row r="11" spans="1:7">
      <c r="A11" s="7" t="s">
        <v>542</v>
      </c>
      <c r="B11" s="7" t="s">
        <v>540</v>
      </c>
      <c r="C11" s="7" t="s">
        <v>541</v>
      </c>
    </row>
  </sheetData>
  <mergeCells count="3">
    <mergeCell ref="A2:C2"/>
    <mergeCell ref="E2:G2"/>
    <mergeCell ref="A10:C10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F4"/>
  <sheetViews>
    <sheetView tabSelected="1" zoomScaleNormal="100" workbookViewId="0">
      <selection activeCell="E14" sqref="E14"/>
    </sheetView>
  </sheetViews>
  <sheetFormatPr defaultRowHeight="17.399999999999999"/>
  <cols>
    <col min="1" max="1" width="11.59765625" bestFit="1" customWidth="1"/>
  </cols>
  <sheetData>
    <row r="1" spans="1:6">
      <c r="A1" s="13" t="s">
        <v>555</v>
      </c>
      <c r="B1" s="13" t="s">
        <v>556</v>
      </c>
      <c r="C1" s="13" t="s">
        <v>557</v>
      </c>
      <c r="D1" s="13" t="s">
        <v>558</v>
      </c>
      <c r="E1" s="13" t="s">
        <v>596</v>
      </c>
      <c r="F1" s="13" t="s">
        <v>597</v>
      </c>
    </row>
    <row r="2" spans="1:6">
      <c r="A2" s="7" t="s">
        <v>602</v>
      </c>
      <c r="B2" s="8">
        <v>850</v>
      </c>
      <c r="C2" s="8">
        <v>980</v>
      </c>
      <c r="D2" s="8">
        <v>1450</v>
      </c>
      <c r="E2" s="8">
        <f>SUM(B2:D2)</f>
        <v>3280</v>
      </c>
      <c r="F2" s="8">
        <f>AVERAGE(B2:D2)</f>
        <v>1093.3333333333333</v>
      </c>
    </row>
    <row r="3" spans="1:6">
      <c r="A3" s="7" t="s">
        <v>559</v>
      </c>
      <c r="B3" s="8">
        <v>1360</v>
      </c>
      <c r="C3" s="8">
        <v>2170</v>
      </c>
      <c r="D3" s="8">
        <v>2500</v>
      </c>
      <c r="E3" s="8">
        <f t="shared" ref="E3:E4" si="0">SUM(B3:D3)</f>
        <v>6030</v>
      </c>
      <c r="F3" s="8">
        <f t="shared" ref="F3:F4" si="1">AVERAGE(B3:D3)</f>
        <v>2010</v>
      </c>
    </row>
    <row r="4" spans="1:6">
      <c r="A4" s="7" t="s">
        <v>560</v>
      </c>
      <c r="B4" s="8">
        <v>2200</v>
      </c>
      <c r="C4" s="8">
        <v>2850</v>
      </c>
      <c r="D4" s="8">
        <v>2100</v>
      </c>
      <c r="E4" s="8">
        <f t="shared" si="0"/>
        <v>7150</v>
      </c>
      <c r="F4" s="8">
        <f t="shared" si="1"/>
        <v>2383.3333333333335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41</vt:i4>
      </vt:variant>
    </vt:vector>
  </HeadingPairs>
  <TitlesOfParts>
    <vt:vector size="41" baseType="lpstr">
      <vt:lpstr>섹션79</vt:lpstr>
      <vt:lpstr>섹션81</vt:lpstr>
      <vt:lpstr>섹션82</vt:lpstr>
      <vt:lpstr>섹션83-1</vt:lpstr>
      <vt:lpstr>섹션83-2</vt:lpstr>
      <vt:lpstr>섹션83-3</vt:lpstr>
      <vt:lpstr>섹션83-4</vt:lpstr>
      <vt:lpstr>섹션83-5</vt:lpstr>
      <vt:lpstr>섹션83-6</vt:lpstr>
      <vt:lpstr>섹션83-7</vt:lpstr>
      <vt:lpstr>섹션83-8</vt:lpstr>
      <vt:lpstr>섹션84-1</vt:lpstr>
      <vt:lpstr>섹션84-2</vt:lpstr>
      <vt:lpstr>섹션84-3</vt:lpstr>
      <vt:lpstr>섹션85-1</vt:lpstr>
      <vt:lpstr>섹션85-2</vt:lpstr>
      <vt:lpstr>섹션85-3</vt:lpstr>
      <vt:lpstr>섹션85-4</vt:lpstr>
      <vt:lpstr>섹션86</vt:lpstr>
      <vt:lpstr>섹션87-1</vt:lpstr>
      <vt:lpstr>섹션87-2</vt:lpstr>
      <vt:lpstr>섹션88</vt:lpstr>
      <vt:lpstr>섹션89</vt:lpstr>
      <vt:lpstr>섹션90</vt:lpstr>
      <vt:lpstr>섹션91</vt:lpstr>
      <vt:lpstr>섹션92</vt:lpstr>
      <vt:lpstr>섹션95-1</vt:lpstr>
      <vt:lpstr>섹션95-2</vt:lpstr>
      <vt:lpstr>섹션96</vt:lpstr>
      <vt:lpstr>섹션97-1</vt:lpstr>
      <vt:lpstr>섹션97-2</vt:lpstr>
      <vt:lpstr>섹션99</vt:lpstr>
      <vt:lpstr>섹션100-1</vt:lpstr>
      <vt:lpstr>섹션100-2</vt:lpstr>
      <vt:lpstr>섹션100-3</vt:lpstr>
      <vt:lpstr>섹션101</vt:lpstr>
      <vt:lpstr>섹션102-1</vt:lpstr>
      <vt:lpstr>섹션102-2</vt:lpstr>
      <vt:lpstr>섹션103-1</vt:lpstr>
      <vt:lpstr>섹션103-2</vt:lpstr>
      <vt:lpstr>섹션104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이주영</cp:lastModifiedBy>
  <dcterms:created xsi:type="dcterms:W3CDTF">2020-06-29T12:26:26Z</dcterms:created>
  <dcterms:modified xsi:type="dcterms:W3CDTF">2023-03-08T11:40:25Z</dcterms:modified>
</cp:coreProperties>
</file>